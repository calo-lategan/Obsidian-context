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seline" sheetId="2" state="visible" r:id="rId4"/>
    <sheet name="KPI" sheetId="3" state="visible" r:id="rId5"/>
    <sheet name="FMEA" sheetId="4" state="visible" r:id="rId6"/>
    <sheet name="ThroughputEcon" sheetId="5" state="visible" r:id="rId7"/>
    <sheet name="Capacity" sheetId="6" state="visible" r:id="rId8"/>
    <sheet name="Decision" sheetId="7" state="visible" r:id="rId9"/>
    <sheet name="WastePareto" sheetId="8" state="visible" r:id="rId10"/>
    <sheet name="TimeMotionDesign" sheetId="9" state="visible" r:id="rId11"/>
    <sheet name="ControlPlan" sheetId="10" state="visible" r:id="rId12"/>
    <sheet name="ImplementationPla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<sst xmlns="http://schemas.openxmlformats.org/spreadsheetml/2006/main" count="836" uniqueCount="738">
  <si>
    <t xml:space="preserve">AL LAITH SITE SERVICES</t>
  </si>
  <si>
    <t xml:space="preserve">Workshop Stock Control — COEEx OS Full-System Diagnostic Workbook</t>
  </si>
  <si>
    <t xml:space="preserve">Generated: 26 May 2026 — Companion to Diagnostic Report .docx &amp; Process Maps .html</t>
  </si>
  <si>
    <t xml:space="preserve">WORKBOOK MAP</t>
  </si>
  <si>
    <t xml:space="preserve">Sheet</t>
  </si>
  <si>
    <t xml:space="preserve">Purpose</t>
  </si>
  <si>
    <t xml:space="preserve">Baseline</t>
  </si>
  <si>
    <t xml:space="preserve">Step 3: data extracted from milestone tracker + PRD success metrics. Inputs in BLUE.</t>
  </si>
  <si>
    <t xml:space="preserve">KPI</t>
  </si>
  <si>
    <t xml:space="preserve">Step 20: live operational scorecard. Targets + RAG bands. Update Current each cycle.</t>
  </si>
  <si>
    <t xml:space="preserve">FMEA</t>
  </si>
  <si>
    <t xml:space="preserve">Step 13: failure modes, severity × occurrence × detection = RPN. Ranked.</t>
  </si>
  <si>
    <t xml:space="preserve">ThroughputEcon</t>
  </si>
  <si>
    <t xml:space="preserve">Step 12: Throughput, Operating Expense, Inventory model. Decision support.</t>
  </si>
  <si>
    <t xml:space="preserve">Capacity</t>
  </si>
  <si>
    <t xml:space="preserve">Step 9: Little's Law + M/M/1 queueing model for the Stock Controller bottleneck.</t>
  </si>
  <si>
    <t xml:space="preserve">Decision</t>
  </si>
  <si>
    <t xml:space="preserve">Step 21: recommendation ranking by Leverage × Feasibility × Time-to-value.</t>
  </si>
  <si>
    <t xml:space="preserve">WastePareto</t>
  </si>
  <si>
    <t xml:space="preserve">Step 8: TIMWOODS waste audit with severity scoring + Pareto.</t>
  </si>
  <si>
    <t xml:space="preserve">TimeMotionDesign</t>
  </si>
  <si>
    <t xml:space="preserve">Embedded time-and-motion measurement architecture inside the AppSheet build.</t>
  </si>
  <si>
    <t xml:space="preserve">ControlPlan</t>
  </si>
  <si>
    <t xml:space="preserve">Step 20: measurement cadence, owner, control method, reaction plan.</t>
  </si>
  <si>
    <t xml:space="preserve">ImplementationPlan</t>
  </si>
  <si>
    <t xml:space="preserve">Step 19: Kotter 8-step × ADKAR mapping to the existing milestone tracker.</t>
  </si>
  <si>
    <t xml:space="preserve">COLOUR LEGEND (industry-standard financial model conventions)</t>
  </si>
  <si>
    <t xml:space="preserve">Blue text</t>
  </si>
  <si>
    <t xml:space="preserve">Hardcoded input / assumption — edit these to run scenarios</t>
  </si>
  <si>
    <t xml:space="preserve">Black text</t>
  </si>
  <si>
    <t xml:space="preserve">Formula / calculated</t>
  </si>
  <si>
    <t xml:space="preserve">Green text</t>
  </si>
  <si>
    <t xml:space="preserve">Cross-sheet link</t>
  </si>
  <si>
    <t xml:space="preserve">Green fill</t>
  </si>
  <si>
    <t xml:space="preserve">On target / good</t>
  </si>
  <si>
    <t xml:space="preserve">Amber fill</t>
  </si>
  <si>
    <t xml:space="preserve">Warning / attention</t>
  </si>
  <si>
    <t xml:space="preserve">Red fill</t>
  </si>
  <si>
    <t xml:space="preserve">Off target / risk</t>
  </si>
  <si>
    <t xml:space="preserve">BASELINE DATA — Pre-launch state (Step 3)</t>
  </si>
  <si>
    <t xml:space="preserve">Source: PRD v1.1, SOPs v1.0, Process Doc v1.2, Milestone Tracker 5/13/26</t>
  </si>
  <si>
    <t xml:space="preserve">Metric</t>
  </si>
  <si>
    <t xml:space="preserve">Pre-launch / current value</t>
  </si>
  <si>
    <t xml:space="preserve">Target post-launch</t>
  </si>
  <si>
    <t xml:space="preserve">Source</t>
  </si>
  <si>
    <t xml:space="preserve">Notes</t>
  </si>
  <si>
    <t xml:space="preserve">Fleet size (assets requiring service)</t>
  </si>
  <si>
    <t xml:space="preserve">&gt;=500</t>
  </si>
  <si>
    <t xml:space="preserve">PRD §1</t>
  </si>
  <si>
    <t xml:space="preserve">Cabins, ablutions, buggies, utility vehicles, flatpacks</t>
  </si>
  <si>
    <t xml:space="preserve">Parts issued with no digital record (%)</t>
  </si>
  <si>
    <t xml:space="preserve">100%</t>
  </si>
  <si>
    <t xml:space="preserve">0%</t>
  </si>
  <si>
    <t xml:space="preserve">PRD §17 Success Metrics</t>
  </si>
  <si>
    <t xml:space="preserve">Current state = no app; manual log not enforced</t>
  </si>
  <si>
    <t xml:space="preserve">Time: request → SC notified (min)</t>
  </si>
  <si>
    <t xml:space="preserve">N/A (verbal/walk-up)</t>
  </si>
  <si>
    <t xml:space="preserve">&lt; 2 min</t>
  </si>
  <si>
    <t xml:space="preserve">PRD §17</t>
  </si>
  <si>
    <t xml:space="preserve">Push notification SLA</t>
  </si>
  <si>
    <t xml:space="preserve">Time: SC fulfilment (min)</t>
  </si>
  <si>
    <t xml:space="preserve">Unknown — not measured</t>
  </si>
  <si>
    <t xml:space="preserve">&lt; 15 min</t>
  </si>
  <si>
    <t xml:space="preserve">SOP 2</t>
  </si>
  <si>
    <t xml:space="preserve">Verbal target only</t>
  </si>
  <si>
    <t xml:space="preserve">e-resource auto-update (%)</t>
  </si>
  <si>
    <t xml:space="preserve">0% (manual batch)</t>
  </si>
  <si>
    <t xml:space="preserve">100% of issues</t>
  </si>
  <si>
    <t xml:space="preserve">Daily batch of 20+ takes 30–45 min today</t>
  </si>
  <si>
    <t xml:space="preserve">Field worker training time (min)</t>
  </si>
  <si>
    <t xml:space="preserve">N/A</t>
  </si>
  <si>
    <t xml:space="preserve">Onboarding target</t>
  </si>
  <si>
    <t xml:space="preserve">Low-stock alerts triggering before stockout (%)</t>
  </si>
  <si>
    <t xml:space="preserve">0% (no monitoring)</t>
  </si>
  <si>
    <t xml:space="preserve">Per reorder threshold</t>
  </si>
  <si>
    <t xml:space="preserve">Throughput volume target</t>
  </si>
  <si>
    <t xml:space="preserve">Unknown</t>
  </si>
  <si>
    <t xml:space="preserve">50+ requests/day</t>
  </si>
  <si>
    <t xml:space="preserve">PRD §15</t>
  </si>
  <si>
    <t xml:space="preserve">Performance NFR</t>
  </si>
  <si>
    <t xml:space="preserve">SC headcount</t>
  </si>
  <si>
    <t xml:space="preserve">PRD §3 / SOPs</t>
  </si>
  <si>
    <t xml:space="preserve">Calo — single point of failure</t>
  </si>
  <si>
    <t xml:space="preserve">Distinct SKUs (catalog target)</t>
  </si>
  <si>
    <t xml:space="preserve">Unknown — being built</t>
  </si>
  <si>
    <t xml:space="preserve">100–500</t>
  </si>
  <si>
    <t xml:space="preserve">Process §C</t>
  </si>
  <si>
    <t xml:space="preserve">Phase C output</t>
  </si>
  <si>
    <t xml:space="preserve">Inventory accuracy</t>
  </si>
  <si>
    <t xml:space="preserve">Unknown — books inflated</t>
  </si>
  <si>
    <t xml:space="preserve">&gt;=95%</t>
  </si>
  <si>
    <t xml:space="preserve">Project context</t>
  </si>
  <si>
    <t xml:space="preserve">Phase A: 15/36 backlog items cleared so far</t>
  </si>
  <si>
    <t xml:space="preserve">Pre-launch programme duration (wks)</t>
  </si>
  <si>
    <t xml:space="preserve">—</t>
  </si>
  <si>
    <t xml:space="preserve">8–12</t>
  </si>
  <si>
    <t xml:space="preserve">Process §A-F</t>
  </si>
  <si>
    <t xml:space="preserve">Per milestone tracker</t>
  </si>
  <si>
    <t xml:space="preserve">App build duration (wks)</t>
  </si>
  <si>
    <t xml:space="preserve">10–12</t>
  </si>
  <si>
    <t xml:space="preserve">PRD §12 / Tracker</t>
  </si>
  <si>
    <t xml:space="preserve">DX Team / Soluchan</t>
  </si>
  <si>
    <t xml:space="preserve">Manual ERP batch time (min/day @20 issuances)</t>
  </si>
  <si>
    <t xml:space="preserve">30–45</t>
  </si>
  <si>
    <t xml:space="preserve">0</t>
  </si>
  <si>
    <t xml:space="preserve">Process Doc</t>
  </si>
  <si>
    <t xml:space="preserve">The main pain point being eliminated</t>
  </si>
  <si>
    <t xml:space="preserve">PHASE PROGRESS SNAPSHOT (as of 26 May 2026 — from Milestone Tracker)</t>
  </si>
  <si>
    <t xml:space="preserve">Phase</t>
  </si>
  <si>
    <t xml:space="preserve">Description</t>
  </si>
  <si>
    <t xml:space="preserve">Status</t>
  </si>
  <si>
    <t xml:space="preserve">% Done (est)</t>
  </si>
  <si>
    <t xml:space="preserve">Critical-path blocker?</t>
  </si>
  <si>
    <t xml:space="preserve">A</t>
  </si>
  <si>
    <t xml:space="preserve">Asset Clearout</t>
  </si>
  <si>
    <t xml:space="preserve">► In Progress (started 14 May)</t>
  </si>
  <si>
    <t xml:space="preserve">Yes — partial; books cleanup ongoing</t>
  </si>
  <si>
    <t xml:space="preserve">B</t>
  </si>
  <si>
    <t xml:space="preserve">Yard Assessment / PDI</t>
  </si>
  <si>
    <t xml:space="preserve">► In Progress</t>
  </si>
  <si>
    <t xml:space="preserve">Yes — feeds Phase C parts demand</t>
  </si>
  <si>
    <t xml:space="preserve">C</t>
  </si>
  <si>
    <t xml:space="preserve">Catalog Documentation</t>
  </si>
  <si>
    <t xml:space="preserve">► Item-naming begun (#14 done, #15 in progress)</t>
  </si>
  <si>
    <t xml:space="preserve">Yes — gates App Build data import</t>
  </si>
  <si>
    <t xml:space="preserve">D</t>
  </si>
  <si>
    <t xml:space="preserve">Photography</t>
  </si>
  <si>
    <t xml:space="preserve">Pending</t>
  </si>
  <si>
    <t xml:space="preserve">No — runs alongside C</t>
  </si>
  <si>
    <t xml:space="preserve">E</t>
  </si>
  <si>
    <t xml:space="preserve">e-Resource Alignment</t>
  </si>
  <si>
    <t xml:space="preserve">Yes — Q1 (integration approach) gates DX build</t>
  </si>
  <si>
    <t xml:space="preserve">F</t>
  </si>
  <si>
    <t xml:space="preserve">Final Stock Take</t>
  </si>
  <si>
    <t xml:space="preserve">Gates go-live</t>
  </si>
  <si>
    <t xml:space="preserve">Labeling</t>
  </si>
  <si>
    <t xml:space="preserve">Workshop physical setup</t>
  </si>
  <si>
    <t xml:space="preserve">► Started early (shelf groups assigned, awaiting stickers)</t>
  </si>
  <si>
    <t xml:space="preserve">No</t>
  </si>
  <si>
    <t xml:space="preserve">App Build</t>
  </si>
  <si>
    <t xml:space="preserve">AppSheet (DX Team)</t>
  </si>
  <si>
    <t xml:space="preserve">Not started — gated by Q1</t>
  </si>
  <si>
    <t xml:space="preserve">Yes — single hardest constraint</t>
  </si>
  <si>
    <t xml:space="preserve">Launch</t>
  </si>
  <si>
    <t xml:space="preserve">Go-live + 2-wk parallel run</t>
  </si>
  <si>
    <t xml:space="preserve">Downstream of all</t>
  </si>
  <si>
    <t xml:space="preserve">OPERATIONAL SCORECARD — Update each review cycle (Step 20)</t>
  </si>
  <si>
    <t xml:space="preserve">RAG bands: Green when Current meets/exceeds Target; Amber within 20%; Red &gt;20% off.</t>
  </si>
  <si>
    <t xml:space="preserve">#</t>
  </si>
  <si>
    <t xml:space="preserve">Definition</t>
  </si>
  <si>
    <t xml:space="preserve">Target</t>
  </si>
  <si>
    <t xml:space="preserve">Current</t>
  </si>
  <si>
    <t xml:space="preserve">Owner</t>
  </si>
  <si>
    <t xml:space="preserve">Review cadence</t>
  </si>
  <si>
    <t xml:space="preserve">calc: zero-record issues / total physical issues</t>
  </si>
  <si>
    <t xml:space="preserve">Calo</t>
  </si>
  <si>
    <t xml:space="preserve">Daily</t>
  </si>
  <si>
    <t xml:space="preserve">Request → SC notification (min, P95)</t>
  </si>
  <si>
    <t xml:space="preserve">P95 latency: submit timestamp to notification timestamp</t>
  </si>
  <si>
    <t xml:space="preserve">DX Team</t>
  </si>
  <si>
    <t xml:space="preserve">Weekly</t>
  </si>
  <si>
    <t xml:space="preserve">Request cycle time (min, median)</t>
  </si>
  <si>
    <t xml:space="preserve">submit -&gt; completed status; median per day</t>
  </si>
  <si>
    <t xml:space="preserve">Fill rate (% requests accepted in full)</t>
  </si>
  <si>
    <t xml:space="preserve">calc: AcceptAll / TotalRequests</t>
  </si>
  <si>
    <t xml:space="preserve">Partial fulfillment rate (%)</t>
  </si>
  <si>
    <t xml:space="preserve">calc: Partial / TotalRequests; lower better</t>
  </si>
  <si>
    <t xml:space="preserve">Reject rate (%)</t>
  </si>
  <si>
    <t xml:space="preserve">calc: Reject / TotalRequests; ideally &lt;5%</t>
  </si>
  <si>
    <t xml:space="preserve">Stockout events / week</t>
  </si>
  <si>
    <t xml:space="preserve">Count of Reject due to OOS</t>
  </si>
  <si>
    <t xml:space="preserve">Low-stock alerts honoured within 24h</t>
  </si>
  <si>
    <t xml:space="preserve">calc: responded / alerts raised</t>
  </si>
  <si>
    <t xml:space="preserve">e-resource sync success (%)</t>
  </si>
  <si>
    <t xml:space="preserve">calc: EResource_Updated=Yes / Issuances</t>
  </si>
  <si>
    <t xml:space="preserve">DX Team / IT</t>
  </si>
  <si>
    <t xml:space="preserve">Inventory accuracy at monthly count (%)</t>
  </si>
  <si>
    <t xml:space="preserve">calc: matching SKUs / SKUs counted</t>
  </si>
  <si>
    <t xml:space="preserve">Monthly</t>
  </si>
  <si>
    <t xml:space="preserve">Repeat-trip rate (same asset, &lt;24h)</t>
  </si>
  <si>
    <t xml:space="preserve">calc: repeats / total - proxy for poor defect diagnosis</t>
  </si>
  <si>
    <t xml:space="preserve">SC utilization (%)</t>
  </si>
  <si>
    <t xml:space="preserve">calc: busy time / shift; &gt;85% triggers capacity review</t>
  </si>
  <si>
    <t xml:space="preserve">Ops Lead</t>
  </si>
  <si>
    <t xml:space="preserve">Mean handover time (min)</t>
  </si>
  <si>
    <t xml:space="preserve">request accepted -&gt; physically handed over</t>
  </si>
  <si>
    <t xml:space="preserve">Defect-to-Request latency (min, median)</t>
  </si>
  <si>
    <t xml:space="preserve">defect marked -&gt; Request Parts submitted</t>
  </si>
  <si>
    <t xml:space="preserve">Time-to-competency</t>
  </si>
  <si>
    <t xml:space="preserve">Per worker</t>
  </si>
  <si>
    <t xml:space="preserve">Stock turn (annualized)</t>
  </si>
  <si>
    <t xml:space="preserve">calc: COGS-issued / avg inventory value</t>
  </si>
  <si>
    <t xml:space="preserve">Quarterly</t>
  </si>
  <si>
    <t xml:space="preserve">FAILURE MODES &amp; EFFECTS ANALYSIS (Step 13) — Severity × Occurrence × Detection = RPN</t>
  </si>
  <si>
    <t xml:space="preserve">Scale 1–10. RPN &gt;= 200 = critical action. 100–199 = priority. &lt;100 = monitor.</t>
  </si>
  <si>
    <t xml:space="preserve">ID</t>
  </si>
  <si>
    <t xml:space="preserve">Process step</t>
  </si>
  <si>
    <t xml:space="preserve">Failure mode</t>
  </si>
  <si>
    <t xml:space="preserve">Effect</t>
  </si>
  <si>
    <t xml:space="preserve">Sev (1–10)</t>
  </si>
  <si>
    <t xml:space="preserve">Cause</t>
  </si>
  <si>
    <t xml:space="preserve">Occ (1–10)</t>
  </si>
  <si>
    <t xml:space="preserve">Current control</t>
  </si>
  <si>
    <t xml:space="preserve">Det (1–10)</t>
  </si>
  <si>
    <t xml:space="preserve">Recommended action</t>
  </si>
  <si>
    <t xml:space="preserve">RPN</t>
  </si>
  <si>
    <t xml:space="preserve">Priority</t>
  </si>
  <si>
    <t xml:space="preserve">Phase E — ERP integration</t>
  </si>
  <si>
    <t xml:space="preserve">Q1 (integration approach) not resolved before DX build starts</t>
  </si>
  <si>
    <t xml:space="preserve">10–12 wk app build blocked or rebuilt</t>
  </si>
  <si>
    <t xml:space="preserve">IT/DX coordination gap; no decision forcing function</t>
  </si>
  <si>
    <t xml:space="preserve">Tracker tasks E.1/E.4 listed; PRD note 'do not start DX build'</t>
  </si>
  <si>
    <t xml:space="preserve">Force decision meeting; document API option with IT before any other phase</t>
  </si>
  <si>
    <t xml:space="preserve">SC single point of failure</t>
  </si>
  <si>
    <t xml:space="preserve">Calo unavailable (sick/leave) with no app permissions delegated</t>
  </si>
  <si>
    <t xml:space="preserve">Workshop halts; field workers blocked; assets sit idle</t>
  </si>
  <si>
    <t xml:space="preserve">Single Stock Controller; Workshop Handler has no app permissions</t>
  </si>
  <si>
    <t xml:space="preserve">Escalation to supervisor mentioned in SOP 1</t>
  </si>
  <si>
    <t xml:space="preserve">Provision backup-SC AppSheet role; cross-train 1 backup; document weekend cover</t>
  </si>
  <si>
    <t xml:space="preserve">Item naming / catalog ambiguity</t>
  </si>
  <si>
    <t xml:space="preserve">Worker requests 'wrong' part using informal name</t>
  </si>
  <si>
    <t xml:space="preserve">Wrong parts issued; rework; trust erosion</t>
  </si>
  <si>
    <t xml:space="preserve">Suppliers use multiple names; informal naming in books</t>
  </si>
  <si>
    <t xml:space="preserve">Phase A renaming to OEM names underway</t>
  </si>
  <si>
    <t xml:space="preserve">Photos + synonyms field in Parts_Catalog; pre-defined defect→category map</t>
  </si>
  <si>
    <t xml:space="preserve">ERP sync failure (silent)</t>
  </si>
  <si>
    <t xml:space="preserve">EResource_Updated stays = No, undetected for hours</t>
  </si>
  <si>
    <t xml:space="preserve">Inventory drift; procurement decisions wrong; rework</t>
  </si>
  <si>
    <t xml:space="preserve">Async automation bot; no retry/alert defined</t>
  </si>
  <si>
    <t xml:space="preserve">SOP 3 says halt issuances on sync fail</t>
  </si>
  <si>
    <t xml:space="preserve">Add 5-min watchdog; auto-retry 3x; SMS escalation on persistent fail</t>
  </si>
  <si>
    <t xml:space="preserve">Phase C catalog data quality</t>
  </si>
  <si>
    <t xml:space="preserve">Wrong item codes / SKUs imported to app</t>
  </si>
  <si>
    <t xml:space="preserve">Issuances post to wrong ERP line; reconciliation nightmare</t>
  </si>
  <si>
    <t xml:space="preserve">Manual cataloguing of 100–500 items by one person</t>
  </si>
  <si>
    <t xml:space="preserve">Spreadsheet review</t>
  </si>
  <si>
    <t xml:space="preserve">Two-person verify of every item code before import; UAT cross-check</t>
  </si>
  <si>
    <t xml:space="preserve">Inventory book inflation</t>
  </si>
  <si>
    <t xml:space="preserve">E-resource shows phantom stock cleared from legacy assets</t>
  </si>
  <si>
    <t xml:space="preserve">Procurement skips needed orders; stockout</t>
  </si>
  <si>
    <t xml:space="preserve">Historical accumulation of un-issued items</t>
  </si>
  <si>
    <t xml:space="preserve">Phase A clearout already underway</t>
  </si>
  <si>
    <t xml:space="preserve">Account-validated clearout (in progress); rebaseline at Phase F</t>
  </si>
  <si>
    <t xml:space="preserve">Phase B inspector inconsistency</t>
  </si>
  <si>
    <t xml:space="preserve">Two inspectors classify defects differently</t>
  </si>
  <si>
    <t xml:space="preserve">Parts demand list is biased; thresholds wrong</t>
  </si>
  <si>
    <t xml:space="preserve">Two inspectors (Calo + Thakur), no calibration</t>
  </si>
  <si>
    <t xml:space="preserve">Phase B SOP exists</t>
  </si>
  <si>
    <t xml:space="preserve">Run 1 calibration day; both inspect same 5 assets; reconcile</t>
  </si>
  <si>
    <t xml:space="preserve">Field worker non-adoption</t>
  </si>
  <si>
    <t xml:space="preserve">Workers bypass app (call SC directly)</t>
  </si>
  <si>
    <t xml:space="preserve">Defeats the entire system; metrics invalid</t>
  </si>
  <si>
    <t xml:space="preserve">Old habits; informal culture</t>
  </si>
  <si>
    <t xml:space="preserve">Pre-launch briefings planned</t>
  </si>
  <si>
    <t xml:space="preserve">SOP 1 enforcement; SC must refuse undocumented requests; visible scoreboard</t>
  </si>
  <si>
    <t xml:space="preserve">Connectivity outage in yard</t>
  </si>
  <si>
    <t xml:space="preserve">Request not synced; field worker doesn't know</t>
  </si>
  <si>
    <t xml:space="preserve">Delayed fulfilment; double-submission</t>
  </si>
  <si>
    <t xml:space="preserve">Yard signal known to be patchy</t>
  </si>
  <si>
    <t xml:space="preserve">PRD NFR: 'offline queue'</t>
  </si>
  <si>
    <t xml:space="preserve">Verify offline behavior in UAT; add sync-status indicator</t>
  </si>
  <si>
    <t xml:space="preserve">AppSheet platform limits hit</t>
  </si>
  <si>
    <t xml:space="preserve">50+ requests/day breach AppSheet quota</t>
  </si>
  <si>
    <t xml:space="preserve">Slowness, dropped writes</t>
  </si>
  <si>
    <t xml:space="preserve">AppSheet free/team-plan limits</t>
  </si>
  <si>
    <t xml:space="preserve">PRD NFR; DX Team aware</t>
  </si>
  <si>
    <t xml:space="preserve">Stress test at 100/day in UAT; budget for plan upgrade</t>
  </si>
  <si>
    <t xml:space="preserve">Returns abuse / fraud loophole</t>
  </si>
  <si>
    <t xml:space="preserve">Workers 'return' parts that were never returned to inflate inventory</t>
  </si>
  <si>
    <t xml:space="preserve">Theft cover; inventory inflation</t>
  </si>
  <si>
    <t xml:space="preserve">Mandatory reason exists but is text-only</t>
  </si>
  <si>
    <t xml:space="preserve">Mandatory reason field</t>
  </si>
  <si>
    <t xml:space="preserve">Photo evidence on return &gt;$X; weekly spot audit of returns</t>
  </si>
  <si>
    <t xml:space="preserve">Buggy/SS Workshop section mix-up</t>
  </si>
  <si>
    <t xml:space="preserve">Issuance posts to wrong ERP section</t>
  </si>
  <si>
    <t xml:space="preserve">Both sections wrong; book-vs-reality drift</t>
  </si>
  <si>
    <t xml:space="preserve">Two parallel sections; manual mapping</t>
  </si>
  <si>
    <t xml:space="preserve">Phase E.2 explicit confirm</t>
  </si>
  <si>
    <t xml:space="preserve">Test issuance per section in UAT; lock category→section mapping</t>
  </si>
  <si>
    <t xml:space="preserve">Photography backlog</t>
  </si>
  <si>
    <t xml:space="preserve">Phase D slips; app lacks photos at go-live</t>
  </si>
  <si>
    <t xml:space="preserve">Workers can't ID parts visually; reverts to voice/walk-up</t>
  </si>
  <si>
    <t xml:space="preserve">Photography concurrent with C; 3–5 photos/day cadence is slow</t>
  </si>
  <si>
    <t xml:space="preserve">Tracker tasks 21–27</t>
  </si>
  <si>
    <t xml:space="preserve">Batch photo session w/ phone stand; 1 day = 100 items</t>
  </si>
  <si>
    <t xml:space="preserve">Defect→category mapping wrong</t>
  </si>
  <si>
    <t xml:space="preserve">Pre-filtered catalog hides relevant parts from worker</t>
  </si>
  <si>
    <t xml:space="preserve">Worker thinks part missing → calls SC anyway</t>
  </si>
  <si>
    <t xml:space="preserve">Initial mapping is 'starting point'</t>
  </si>
  <si>
    <t xml:space="preserve">PRD §11</t>
  </si>
  <si>
    <t xml:space="preserve">Weekly map review for first 6 weeks; add 'Show all' override</t>
  </si>
  <si>
    <t xml:space="preserve">30+ min ERP batch persists post-launch</t>
  </si>
  <si>
    <t xml:space="preserve">Manual interim runs in parallel beyond plan</t>
  </si>
  <si>
    <t xml:space="preserve">SC overhead doubles; staff resent system</t>
  </si>
  <si>
    <t xml:space="preserve">Migration risk</t>
  </si>
  <si>
    <t xml:space="preserve">Plan says manual closed at week 14</t>
  </si>
  <si>
    <t xml:space="preserve">Hard-stop ceremony; remove SC's ERP access on go-live+14d</t>
  </si>
  <si>
    <t xml:space="preserve">Photo storage / Drive permissions break</t>
  </si>
  <si>
    <t xml:space="preserve">Photos un-viewable in app on go-live day</t>
  </si>
  <si>
    <t xml:space="preserve">Visual catalog dead; UX broken</t>
  </si>
  <si>
    <t xml:space="preserve">Drive folder permission gotchas</t>
  </si>
  <si>
    <t xml:space="preserve">Tracker task 25/27</t>
  </si>
  <si>
    <t xml:space="preserve">Pre-go-live permission audit; test on 3 worker devices</t>
  </si>
  <si>
    <t xml:space="preserve">THROUGHPUT ACCOUNTING — T / OE / I model (Step 12)</t>
  </si>
  <si>
    <t xml:space="preserve">Goldratt framing: T = Throughput (revenue-enabling output), OE = Operating Expense, I = Inventory. Decisions evaluated on impact to T per constraint-hour.</t>
  </si>
  <si>
    <t xml:space="preserve">INPUTS</t>
  </si>
  <si>
    <t xml:space="preserve">Fleet assets enabling rental revenue</t>
  </si>
  <si>
    <t xml:space="preserve">Avg rental yield per asset per month (AED)</t>
  </si>
  <si>
    <t xml:space="preserve">Placeholder — Calo to confirm. Italic = assumption.</t>
  </si>
  <si>
    <t xml:space="preserve">Estimated revenue-loss per asset-day grounded</t>
  </si>
  <si>
    <t xml:space="preserve">approx = monthly yield / 30 days</t>
  </si>
  <si>
    <t xml:space="preserve">Avg asset-days lost per stockout event</t>
  </si>
  <si>
    <t xml:space="preserve">Estimate — until part arrives</t>
  </si>
  <si>
    <t xml:space="preserve">Estimated stockout events/month pre-launch</t>
  </si>
  <si>
    <t xml:space="preserve">Estimate — no monitoring today</t>
  </si>
  <si>
    <t xml:space="preserve">Estimated stockout events/month post-launch</t>
  </si>
  <si>
    <t xml:space="preserve">Target — reorder alerts effective</t>
  </si>
  <si>
    <t xml:space="preserve">SC daily ERP batch time (min) — pre-launch</t>
  </si>
  <si>
    <t xml:space="preserve">Mid-point of 30–45 min</t>
  </si>
  <si>
    <t xml:space="preserve">SC fully loaded cost (AED/hour)</t>
  </si>
  <si>
    <t xml:space="preserve">Placeholder — Calo to confirm</t>
  </si>
  <si>
    <t xml:space="preserve">Field worker fully loaded cost (AED/hour)</t>
  </si>
  <si>
    <t xml:space="preserve">Placeholder</t>
  </si>
  <si>
    <t xml:space="preserve">Avg field worker walk-back trips/day pre-launch</t>
  </si>
  <si>
    <t xml:space="preserve">Anecdotal — workers walking to workshop and back</t>
  </si>
  <si>
    <t xml:space="preserve">Walk-back duration each (min)</t>
  </si>
  <si>
    <t xml:space="preserve">Estimate (avg yard distance)</t>
  </si>
  <si>
    <t xml:space="preserve">Manual log catch-up admin (min/day) post-launch</t>
  </si>
  <si>
    <t xml:space="preserve">Eliminated</t>
  </si>
  <si>
    <t xml:space="preserve">COMPUTED — MONTHLY (AED unless stated)</t>
  </si>
  <si>
    <t xml:space="preserve">Pre-launch</t>
  </si>
  <si>
    <t xml:space="preserve">Post-launch</t>
  </si>
  <si>
    <t xml:space="preserve">Delta / month (savings)</t>
  </si>
  <si>
    <t xml:space="preserve">Revenue lost to stockouts (AED/month)</t>
  </si>
  <si>
    <t xml:space="preserve">SC ERP-batch hours/month</t>
  </si>
  <si>
    <t xml:space="preserve">SC time value (AED/month)</t>
  </si>
  <si>
    <t xml:space="preserve">Worker walk-back hours/month</t>
  </si>
  <si>
    <t xml:space="preserve">Worker walk-back value (AED/month)</t>
  </si>
  <si>
    <t xml:space="preserve">TOTAL MONTHLY NET SAVINGS (AED)</t>
  </si>
  <si>
    <t xml:space="preserve">ANNUAL NET T-IMPACT (AED)</t>
  </si>
  <si>
    <t xml:space="preserve">OPERATING EXPENSE — One-time (AED)</t>
  </si>
  <si>
    <t xml:space="preserve">Amount</t>
  </si>
  <si>
    <t xml:space="preserve">AppSheet app build (DX Team internal)</t>
  </si>
  <si>
    <t xml:space="preserve">Internal team; opportunity cost only</t>
  </si>
  <si>
    <t xml:space="preserve">AppSheet licensing — 1 year</t>
  </si>
  <si>
    <t xml:space="preserve">Estimate; confirm with DX</t>
  </si>
  <si>
    <t xml:space="preserve">Stickers / labels / shelving</t>
  </si>
  <si>
    <t xml:space="preserve">Phase setup</t>
  </si>
  <si>
    <t xml:space="preserve">Photo setup (lightbox + smartphone stand)</t>
  </si>
  <si>
    <t xml:space="preserve">One-time</t>
  </si>
  <si>
    <t xml:space="preserve">Training time (workers x 15 min)</t>
  </si>
  <si>
    <t xml:space="preserve">Internal</t>
  </si>
  <si>
    <t xml:space="preserve">TOTAL ONE-TIME OE</t>
  </si>
  <si>
    <t xml:space="preserve">Payback (months)</t>
  </si>
  <si>
    <t xml:space="preserve">OPEX / monthly net savings; 0 if no savings yet</t>
  </si>
  <si>
    <t xml:space="preserve">CAPACITY MODEL — Little's Law &amp; M/M/1 queueing for the Stock Controller (Step 9)</t>
  </si>
  <si>
    <t xml:space="preserve">Verifies the SC is the constraint and tells you at what request volume the system breaks.</t>
  </si>
  <si>
    <t xml:space="preserve">INPUT — arrival side</t>
  </si>
  <si>
    <t xml:space="preserve">Value</t>
  </si>
  <si>
    <t xml:space="preserve">Average requests per day (lambda)</t>
  </si>
  <si>
    <t xml:space="preserve">Mid-range of expected; PRD NFR caps at 50+</t>
  </si>
  <si>
    <t xml:space="preserve">Working hours per day</t>
  </si>
  <si>
    <t xml:space="preserve">07:00–16:00 typical workshop shift</t>
  </si>
  <si>
    <t xml:space="preserve">Arrival rate λ (requests/hour)</t>
  </si>
  <si>
    <t xml:space="preserve">INPUT — service side</t>
  </si>
  <si>
    <t xml:space="preserve">SC mean service time per request (min)</t>
  </si>
  <si>
    <t xml:space="preserve">Decide, locate, hand-over, log</t>
  </si>
  <si>
    <t xml:space="preserve">Service rate μ (requests/hour)</t>
  </si>
  <si>
    <t xml:space="preserve">RESULTS</t>
  </si>
  <si>
    <t xml:space="preserve">Utilization ρ = λ/μ</t>
  </si>
  <si>
    <t xml:space="preserve">Must be &lt; 0.85 to avoid runaway queues</t>
  </si>
  <si>
    <t xml:space="preserve">Avg # in system L = ρ/(1-ρ)</t>
  </si>
  <si>
    <t xml:space="preserve">M/M/1 formula</t>
  </si>
  <si>
    <t xml:space="preserve">Avg time in system W (min) = L/λ × 60</t>
  </si>
  <si>
    <t xml:space="preserve">Total request cycle time including wait</t>
  </si>
  <si>
    <t xml:space="preserve">Avg wait in queue Wq (min)</t>
  </si>
  <si>
    <t xml:space="preserve">Probability of stable queue (ρ&lt;1)?</t>
  </si>
  <si>
    <t xml:space="preserve">Max sustainable arrival rate (req/day, ρ=0.85)</t>
  </si>
  <si>
    <t xml:space="preserve">WHAT-IF: when do we need a backup SC?</t>
  </si>
  <si>
    <t xml:space="preserve">Trigger: ρ exceeds (0.85)</t>
  </si>
  <si>
    <t xml:space="preserve">Trigger: requests/day exceeds</t>
  </si>
  <si>
    <t xml:space="preserve">RECOMMENDATION RANKING — Leverage × Feasibility × Time-to-value (Step 21)</t>
  </si>
  <si>
    <t xml:space="preserve">Each scored 1–5. Score = L × F × (6-TTV) so faster = better. Sorted high→low.</t>
  </si>
  <si>
    <t xml:space="preserve">Recommendation</t>
  </si>
  <si>
    <t xml:space="preserve">Leverage (1-5)</t>
  </si>
  <si>
    <t xml:space="preserve">Feasibility (1-5)</t>
  </si>
  <si>
    <t xml:space="preserve">Time-to-value (1=fast 5=slow)</t>
  </si>
  <si>
    <t xml:space="preserve">Success metric</t>
  </si>
  <si>
    <t xml:space="preserve">Risk</t>
  </si>
  <si>
    <t xml:space="preserve">Score</t>
  </si>
  <si>
    <t xml:space="preserve">Rank</t>
  </si>
  <si>
    <t xml:space="preserve">R1</t>
  </si>
  <si>
    <t xml:space="preserve">Resolve Q1 (ERP integration approach) BEFORE DX build starts</t>
  </si>
  <si>
    <t xml:space="preserve">Calo + Vincent + IT + DX</t>
  </si>
  <si>
    <t xml:space="preserve">Decision documented &amp; signed</t>
  </si>
  <si>
    <t xml:space="preserve">DX build rework</t>
  </si>
  <si>
    <t xml:space="preserve">R2</t>
  </si>
  <si>
    <t xml:space="preserve">Provision backup-SC role + cross-train 1 person</t>
  </si>
  <si>
    <t xml:space="preserve">Calo + Ops Lead</t>
  </si>
  <si>
    <t xml:space="preserve">Backup-SC handles 1 shift/wk in parallel run</t>
  </si>
  <si>
    <t xml:space="preserve">Resistance from cross-trainee</t>
  </si>
  <si>
    <t xml:space="preserve">R3</t>
  </si>
  <si>
    <t xml:space="preserve">Embed time-and-motion telemetry in AppSheet (free; see TimeMotionDesign sheet)</t>
  </si>
  <si>
    <t xml:space="preserve">DX Team + Calo</t>
  </si>
  <si>
    <t xml:space="preserve">10 measurement points live by Week 9 build</t>
  </si>
  <si>
    <t xml:space="preserve">Scope creep with DX</t>
  </si>
  <si>
    <t xml:space="preserve">R4</t>
  </si>
  <si>
    <t xml:space="preserve">Two-person verify on every catalog item code before import</t>
  </si>
  <si>
    <t xml:space="preserve">Calo + Mohamed Thakur</t>
  </si>
  <si>
    <t xml:space="preserve">0 wrong item codes in UAT</t>
  </si>
  <si>
    <t xml:space="preserve">Slower Phase C; mitigated by structured cross-check</t>
  </si>
  <si>
    <t xml:space="preserve">R5</t>
  </si>
  <si>
    <t xml:space="preserve">Inspector calibration day for Phase B (Calo + Thakur on same 5 assets)</t>
  </si>
  <si>
    <t xml:space="preserve">Calo + Thakur</t>
  </si>
  <si>
    <t xml:space="preserve">≤10% classification variance</t>
  </si>
  <si>
    <t xml:space="preserve">1-day delay to Phase B</t>
  </si>
  <si>
    <t xml:space="preserve">R6</t>
  </si>
  <si>
    <t xml:space="preserve">Watchdog + SMS escalation on ERP sync failure (&gt;5 min unsynced)</t>
  </si>
  <si>
    <t xml:space="preserve">Test failure triggers SMS in UAT</t>
  </si>
  <si>
    <t xml:space="preserve">Bot complexity</t>
  </si>
  <si>
    <t xml:space="preserve">R7</t>
  </si>
  <si>
    <t xml:space="preserve">'Show all' override + synonym field on Parts_Catalog</t>
  </si>
  <si>
    <t xml:space="preserve">Workers find part in &lt;60 sec in UAT</t>
  </si>
  <si>
    <t xml:space="preserve">Catalog hygiene effort</t>
  </si>
  <si>
    <t xml:space="preserve">R8</t>
  </si>
  <si>
    <t xml:space="preserve">Batch photography session (1 day = 100 items)</t>
  </si>
  <si>
    <t xml:space="preserve">100 items photographed in 1 day</t>
  </si>
  <si>
    <t xml:space="preserve">Quality vs speed</t>
  </si>
  <si>
    <t xml:space="preserve">R9</t>
  </si>
  <si>
    <t xml:space="preserve">Stockout 'lost-hours' capture on every reject/partial</t>
  </si>
  <si>
    <t xml:space="preserve">Field reads on Reject events</t>
  </si>
  <si>
    <t xml:space="preserve">Worker friction</t>
  </si>
  <si>
    <t xml:space="preserve">R10</t>
  </si>
  <si>
    <t xml:space="preserve">GPS-stamp travel time + repeat-trip detection (within-app)</t>
  </si>
  <si>
    <t xml:space="preserve">Travel time + repeat-trip KPIs live</t>
  </si>
  <si>
    <t xml:space="preserve">Privacy concerns to manage</t>
  </si>
  <si>
    <t xml:space="preserve">R11</t>
  </si>
  <si>
    <t xml:space="preserve">Visible workshop scoreboard (TV showing daily KPIs)</t>
  </si>
  <si>
    <t xml:space="preserve">Scoreboard up + viewed daily</t>
  </si>
  <si>
    <t xml:space="preserve">Sustaining engagement</t>
  </si>
  <si>
    <t xml:space="preserve">R12</t>
  </si>
  <si>
    <t xml:space="preserve">Pre-launch 'photo evidence' rule for returns &gt; AED X threshold</t>
  </si>
  <si>
    <t xml:space="preserve">Returns photo logged in app</t>
  </si>
  <si>
    <t xml:space="preserve">Worker minor friction</t>
  </si>
  <si>
    <t xml:space="preserve">R13</t>
  </si>
  <si>
    <t xml:space="preserve">Returns weekly spot audit (5% sample)</t>
  </si>
  <si>
    <t xml:space="preserve">Audit report each Fri</t>
  </si>
  <si>
    <t xml:space="preserve">Calo workload</t>
  </si>
  <si>
    <t xml:space="preserve">R14</t>
  </si>
  <si>
    <t xml:space="preserve">Lock category → ERP section mapping (Buggy / SS Workshop)</t>
  </si>
  <si>
    <t xml:space="preserve">Calo + IT</t>
  </si>
  <si>
    <t xml:space="preserve">Mapping signed off + tested</t>
  </si>
  <si>
    <t xml:space="preserve">Late binding pain</t>
  </si>
  <si>
    <t xml:space="preserve">R15</t>
  </si>
  <si>
    <t xml:space="preserve">Force-stop ceremony at week 14 to kill manual ERP batch</t>
  </si>
  <si>
    <t xml:space="preserve">Calo + Vincent</t>
  </si>
  <si>
    <t xml:space="preserve">SC's ERP write access removed Week 14</t>
  </si>
  <si>
    <t xml:space="preserve">Backsliding</t>
  </si>
  <si>
    <t xml:space="preserve">R16</t>
  </si>
  <si>
    <t xml:space="preserve">Add 'Defect-to-Request latency' as Phase 2 KPI (signal of catalog UX issues)</t>
  </si>
  <si>
    <t xml:space="preserve">Field auto-captured; appears in scorecard</t>
  </si>
  <si>
    <t xml:space="preserve">Statistical noise at low volume</t>
  </si>
  <si>
    <t xml:space="preserve">TIMWOODS WASTE AUDIT (Step 8) — current state, ranked</t>
  </si>
  <si>
    <t xml:space="preserve">Pre-launch and during the interim. Severity 1–10, frequency observations per day.</t>
  </si>
  <si>
    <t xml:space="preserve">TIMWOODS category</t>
  </si>
  <si>
    <t xml:space="preserve">Observation</t>
  </si>
  <si>
    <t xml:space="preserve">Severity (1-10)</t>
  </si>
  <si>
    <t xml:space="preserve">Frequency (events/day)</t>
  </si>
  <si>
    <t xml:space="preserve">Score (S×F)</t>
  </si>
  <si>
    <t xml:space="preserve">Cumulative %</t>
  </si>
  <si>
    <t xml:space="preserve">T — Transport</t>
  </si>
  <si>
    <t xml:space="preserve">Workers walking from yard to workshop multiple times per defect (no app, no anticipation)</t>
  </si>
  <si>
    <t xml:space="preserve">Tracked walk-back trips; ~6/day across crew</t>
  </si>
  <si>
    <t xml:space="preserve">I — Inventory</t>
  </si>
  <si>
    <t xml:space="preserve">Phantom/legacy stock in e-resource books; obsolete items not yet cleared</t>
  </si>
  <si>
    <t xml:space="preserve">Phase A clearout (15/36 done as of 5/26)</t>
  </si>
  <si>
    <t xml:space="preserve">M — Motion</t>
  </si>
  <si>
    <t xml:space="preserve">SC manually walking to physical bin for each issuance with no pre-staged batching</t>
  </si>
  <si>
    <t xml:space="preserve">Mitigated post-launch by Location_Code</t>
  </si>
  <si>
    <t xml:space="preserve">W — Waiting</t>
  </si>
  <si>
    <t xml:space="preserve">Workers waiting at workshop door for SC to return; no in-app status</t>
  </si>
  <si>
    <t xml:space="preserve">Anecdotal; SOP 1 'door locked when SC absent'</t>
  </si>
  <si>
    <t xml:space="preserve">O — Overproduction</t>
  </si>
  <si>
    <t xml:space="preserve">Workers requesting 'extra to be safe' parts they never use → returns</t>
  </si>
  <si>
    <t xml:space="preserve">Mandatory return reason captures but doesn't prevent</t>
  </si>
  <si>
    <t xml:space="preserve">O — Overprocessing</t>
  </si>
  <si>
    <t xml:space="preserve">Daily manual ERP batch update (30–45 min) for what the app will do automatically</t>
  </si>
  <si>
    <t xml:space="preserve">Quoted from Process Doc — 'main pain point'</t>
  </si>
  <si>
    <t xml:space="preserve">D — Defects</t>
  </si>
  <si>
    <t xml:space="preserve">Wrong parts issued from informal/ambiguous names → rework</t>
  </si>
  <si>
    <t xml:space="preserve">PRD §11 defect→category map mitigates</t>
  </si>
  <si>
    <t xml:space="preserve">S — Skills (under-utilized)</t>
  </si>
  <si>
    <t xml:space="preserve">SC capacity wasted on manual ERP entry that the bot will eliminate</t>
  </si>
  <si>
    <t xml:space="preserve">approx 8 hrs/wk SC time freed</t>
  </si>
  <si>
    <t xml:space="preserve">TIME-AND-MOTION STUDIES — BUILT INTO THE APPSHEET APP (no clipboard required)</t>
  </si>
  <si>
    <t xml:space="preserve">This is the architecture for embedding Gilbreth/MTM-style time-and-motion measurement INSIDE the operational app — zero extra clicks for workers/SC, full data capture by design.</t>
  </si>
  <si>
    <t xml:space="preserve">Principle 1</t>
  </si>
  <si>
    <t xml:space="preserve">Every transaction already has timestamps. Differences between timestamps = free metrics. No worker action required.</t>
  </si>
  <si>
    <t xml:space="preserve">Principle 2</t>
  </si>
  <si>
    <t xml:space="preserve">GPS lat/lng on every Request submit + every Status change converts the app into a passive motion sensor.</t>
  </si>
  <si>
    <t xml:space="preserve">Principle 3</t>
  </si>
  <si>
    <t xml:space="preserve">Location codes + timestamps = Spaghetti Diagram of the SC's day, auto-generated.</t>
  </si>
  <si>
    <t xml:space="preserve">Principle 4</t>
  </si>
  <si>
    <t xml:space="preserve">Pre-launch (Phase F): manually time 30 representative issuances. Post-launch: same data captured automatically. Direct A/B for ROI defence to Vincent + John.</t>
  </si>
  <si>
    <t xml:space="preserve">Principle 5</t>
  </si>
  <si>
    <t xml:space="preserve">Make it visible. A simple dashboard tile per metric. What gets measured &amp; seen gets improved.</t>
  </si>
  <si>
    <t xml:space="preserve">MEASUREMENT POINTS — 14 free metrics, captured automatically</t>
  </si>
  <si>
    <t xml:space="preserve">How captured</t>
  </si>
  <si>
    <t xml:space="preserve">Why it matters</t>
  </si>
  <si>
    <t xml:space="preserve">Where in flow</t>
  </si>
  <si>
    <t xml:space="preserve">Implementation cost</t>
  </si>
  <si>
    <t xml:space="preserve">TM-01</t>
  </si>
  <si>
    <t xml:space="preserve">Notification latency</t>
  </si>
  <si>
    <t xml:space="preserve">T_submit (REQ row created) → T_notif (push delivered)</t>
  </si>
  <si>
    <t xml:space="preserve">Diagnoses DX/AppSheet delivery health; PRD target &lt;2 min</t>
  </si>
  <si>
    <t xml:space="preserve">Phase 2-3</t>
  </si>
  <si>
    <t xml:space="preserve">Auto (built-in)</t>
  </si>
  <si>
    <t xml:space="preserve">TM-02</t>
  </si>
  <si>
    <t xml:space="preserve">Defect-to-Request latency</t>
  </si>
  <si>
    <t xml:space="preserve">T_defect_marked → T_request_submitted</t>
  </si>
  <si>
    <t xml:space="preserve">Workers procrastinating? Catalog hard to navigate?</t>
  </si>
  <si>
    <t xml:space="preserve">Phase 1-2</t>
  </si>
  <si>
    <t xml:space="preserve">TM-03</t>
  </si>
  <si>
    <t xml:space="preserve">Decision latency</t>
  </si>
  <si>
    <t xml:space="preserve">T_notif → T_SC_decision (Accept/Partial/Reject)</t>
  </si>
  <si>
    <t xml:space="preserve">SC overloaded? Catalog data missing?</t>
  </si>
  <si>
    <t xml:space="preserve">Phase 3</t>
  </si>
  <si>
    <t xml:space="preserve">TM-04</t>
  </si>
  <si>
    <t xml:space="preserve">Handover latency</t>
  </si>
  <si>
    <t xml:space="preserve">T_decision → T_handover_complete (worker signs)</t>
  </si>
  <si>
    <t xml:space="preserve">Physical pick + hand-over efficiency</t>
  </si>
  <si>
    <t xml:space="preserve">Phase 3-4</t>
  </si>
  <si>
    <t xml:space="preserve">TM-05</t>
  </si>
  <si>
    <t xml:space="preserve">Closeout latency</t>
  </si>
  <si>
    <t xml:space="preserve">T_handover → T_status=Completed</t>
  </si>
  <si>
    <t xml:space="preserve">Admin tail; usually trivial post-bot</t>
  </si>
  <si>
    <t xml:space="preserve">Phase 4-5</t>
  </si>
  <si>
    <t xml:space="preserve">TM-06</t>
  </si>
  <si>
    <t xml:space="preserve">Total request cycle time</t>
  </si>
  <si>
    <t xml:space="preserve">T_submit → T_status=Completed</t>
  </si>
  <si>
    <t xml:space="preserve">The headline KPI</t>
  </si>
  <si>
    <t xml:space="preserve">All</t>
  </si>
  <si>
    <t xml:space="preserve">TM-07</t>
  </si>
  <si>
    <t xml:space="preserve">Travel time (GPS)</t>
  </si>
  <si>
    <t xml:space="preserve">GPS at submit (asset) vs GPS at handover (workshop)</t>
  </si>
  <si>
    <t xml:space="preserve">Layout efficiency; identifies long-distance assets</t>
  </si>
  <si>
    <t xml:space="preserve">Phase 1-4</t>
  </si>
  <si>
    <t xml:space="preserve">Auto (GPS field)</t>
  </si>
  <si>
    <t xml:space="preserve">TM-08</t>
  </si>
  <si>
    <t xml:space="preserve">Repeat-trip detection</t>
  </si>
  <si>
    <t xml:space="preserve">Same worker + same plant + new request &lt;24h after Completed</t>
  </si>
  <si>
    <t xml:space="preserve">Poor defect diagnosis or partial issuance signal</t>
  </si>
  <si>
    <t xml:space="preserve">AppSheet bot (post-write)</t>
  </si>
  <si>
    <t xml:space="preserve">TM-09</t>
  </si>
  <si>
    <t xml:space="preserve">Lost productive hours (stockout)</t>
  </si>
  <si>
    <t xml:space="preserve">On Reject/Partial w/ reason=OOS, capture estimate from worker (1 dropdown)</t>
  </si>
  <si>
    <t xml:space="preserve">Throughput accounting — converts to AED</t>
  </si>
  <si>
    <t xml:space="preserve">Phase 3 reject branch</t>
  </si>
  <si>
    <t xml:space="preserve">1 extra dropdown — 2 sec</t>
  </si>
  <si>
    <t xml:space="preserve">TM-10</t>
  </si>
  <si>
    <t xml:space="preserve">SC standard work timing</t>
  </si>
  <si>
    <t xml:space="preserve">Optional: SC taps 'Start Pick' / 'End Pick' in SC view</t>
  </si>
  <si>
    <t xml:space="preserve">Builds Calo's personal time-standard library; MTM-style</t>
  </si>
  <si>
    <t xml:space="preserve">Phase 3-4 (SC side)</t>
  </si>
  <si>
    <t xml:space="preserve">2 extra taps — opt-in</t>
  </si>
  <si>
    <t xml:space="preserve">TM-11</t>
  </si>
  <si>
    <t xml:space="preserve">Catalog navigation telemetry</t>
  </si>
  <si>
    <t xml:space="preserve"># of category taps, search resets, time-on-screen before Add</t>
  </si>
  <si>
    <t xml:space="preserve">UI friction → which parts need better naming/photos</t>
  </si>
  <si>
    <t xml:space="preserve">Phase 2</t>
  </si>
  <si>
    <t xml:space="preserve">AppSheet event log</t>
  </si>
  <si>
    <t xml:space="preserve">TM-12</t>
  </si>
  <si>
    <t xml:space="preserve">Location-code pick path</t>
  </si>
  <si>
    <t xml:space="preserve">Each issuance line item logs Location_Code; daily heatmap</t>
  </si>
  <si>
    <t xml:space="preserve">Golden-zone optimization (Gilbreth motion study output)</t>
  </si>
  <si>
    <t xml:space="preserve">Phase 4</t>
  </si>
  <si>
    <t xml:space="preserve">Auto (already in data model)</t>
  </si>
  <si>
    <t xml:space="preserve">TM-13</t>
  </si>
  <si>
    <t xml:space="preserve">Workshop pick-path spaghetti</t>
  </si>
  <si>
    <t xml:space="preserve">Sequence of Location_Codes touched in SC's shift</t>
  </si>
  <si>
    <t xml:space="preserve">Spaghetti diagram auto-generated as SVG</t>
  </si>
  <si>
    <t xml:space="preserve">Daily bot run, SVG to Drive</t>
  </si>
  <si>
    <t xml:space="preserve">TM-14</t>
  </si>
  <si>
    <t xml:space="preserve">Pre-vs-post baseline study</t>
  </si>
  <si>
    <t xml:space="preserve">30 manually timed issuances pre-launch (Phase F) — same auto-captured post-launch</t>
  </si>
  <si>
    <t xml:space="preserve">ROI defence; signed evidence for Vincent + John</t>
  </si>
  <si>
    <t xml:space="preserve">Phase F + Week 14</t>
  </si>
  <si>
    <t xml:space="preserve">1 day Calo manual</t>
  </si>
  <si>
    <t xml:space="preserve">DATA MODEL ADDITIONS — minimal schema deltas to support all 14 metrics</t>
  </si>
  <si>
    <t xml:space="preserve">Table</t>
  </si>
  <si>
    <t xml:space="preserve">New / used fields</t>
  </si>
  <si>
    <t xml:space="preserve">Implementation</t>
  </si>
  <si>
    <t xml:space="preserve">Parts_Requests</t>
  </si>
  <si>
    <t xml:space="preserve">T_submit (auto), T_notif (auto), GPS_submit_lat, GPS_submit_lng</t>
  </si>
  <si>
    <t xml:space="preserve">AppSheet built-ins + GPS field type</t>
  </si>
  <si>
    <t xml:space="preserve">Issuance_Tickets</t>
  </si>
  <si>
    <t xml:space="preserve">T_decision (auto), T_handover (Save action), T_complete (auto), GPS_handover</t>
  </si>
  <si>
    <t xml:space="preserve">AppSheet built-ins + action timestamp</t>
  </si>
  <si>
    <t xml:space="preserve">Request_Line_Items</t>
  </si>
  <si>
    <t xml:space="preserve">Location_Code_at_Pick (lookup), Pick_Start, Pick_End (SC opt-in actions)</t>
  </si>
  <si>
    <t xml:space="preserve">Existing field + 2 optional tap actions</t>
  </si>
  <si>
    <t xml:space="preserve">Returns</t>
  </si>
  <si>
    <t xml:space="preserve">Return_Reason (existing), Photo_Evidence (new, conditional on AED threshold)</t>
  </si>
  <si>
    <t xml:space="preserve">Image field</t>
  </si>
  <si>
    <t xml:space="preserve">Catalog_NavLog (new tiny table)</t>
  </si>
  <si>
    <t xml:space="preserve">Worker_ID, Session_ID, Tap_Sequence (CSV), T_session_start, T_added_to_cart</t>
  </si>
  <si>
    <t xml:space="preserve">AppSheet event sink — 1 row per session</t>
  </si>
  <si>
    <t xml:space="preserve">DERIVED METRICS — calculated views (no extra capture)</t>
  </si>
  <si>
    <t xml:space="preserve">Derived metric</t>
  </si>
  <si>
    <t xml:space="preserve">Calculation</t>
  </si>
  <si>
    <t xml:space="preserve">Why</t>
  </si>
  <si>
    <t xml:space="preserve">Cycle time histogram</t>
  </si>
  <si>
    <t xml:space="preserve">Bin(T_complete - T_submit, 5-min buckets)</t>
  </si>
  <si>
    <t xml:space="preserve">Identify long-tail outliers for RCA</t>
  </si>
  <si>
    <t xml:space="preserve">P50 / P95 latency per stage</t>
  </si>
  <si>
    <t xml:space="preserve">PERCENTILE on TM-01...TM-05</t>
  </si>
  <si>
    <t xml:space="preserve">SLA reporting</t>
  </si>
  <si>
    <t xml:space="preserve">Worker-pareto by repeat-trips</t>
  </si>
  <si>
    <t xml:space="preserve">GROUP BY Worker_ID, COUNT(TM-08)</t>
  </si>
  <si>
    <t xml:space="preserve">Coaching targets</t>
  </si>
  <si>
    <t xml:space="preserve">Parts-pareto by stockout-AED</t>
  </si>
  <si>
    <t xml:space="preserve">GROUP BY Part_ID, SUM(TM-09 dollars)</t>
  </si>
  <si>
    <t xml:space="preserve">Procurement priorities</t>
  </si>
  <si>
    <t xml:space="preserve">Location heatmap (Gilbreth)</t>
  </si>
  <si>
    <t xml:space="preserve">GROUP BY Location_Code, COUNT, daily</t>
  </si>
  <si>
    <t xml:space="preserve">Move top-20 to golden zone</t>
  </si>
  <si>
    <t xml:space="preserve">Spaghetti SVG</t>
  </si>
  <si>
    <t xml:space="preserve">ORDER BY T_pick, sequence Location_Codes → polyline</t>
  </si>
  <si>
    <t xml:space="preserve">Visual motion-waste detection</t>
  </si>
  <si>
    <t xml:space="preserve">Capacity warning</t>
  </si>
  <si>
    <t xml:space="preserve">ρ (utilization) crosses 0.85 (see Capacity sheet)</t>
  </si>
  <si>
    <t xml:space="preserve">Trigger backup-SC scheduling</t>
  </si>
  <si>
    <t xml:space="preserve">Defect→Request UX score</t>
  </si>
  <si>
    <t xml:space="preserve">Inverted P50(TM-02). Slow = bad UX</t>
  </si>
  <si>
    <t xml:space="preserve">Drives catalog/category map iteration</t>
  </si>
  <si>
    <t xml:space="preserve">CONTROL PLAN — measurement system (Step 20)</t>
  </si>
  <si>
    <t xml:space="preserve">Control item</t>
  </si>
  <si>
    <t xml:space="preserve">Method</t>
  </si>
  <si>
    <t xml:space="preserve">Cadence</t>
  </si>
  <si>
    <t xml:space="preserve">Pass criterion</t>
  </si>
  <si>
    <t xml:space="preserve">Reaction plan if fail</t>
  </si>
  <si>
    <t xml:space="preserve">Daily request queue review</t>
  </si>
  <si>
    <t xml:space="preserve">App dashboard</t>
  </si>
  <si>
    <t xml:space="preserve">On open of day</t>
  </si>
  <si>
    <t xml:space="preserve">0 unresolved &gt;2h</t>
  </si>
  <si>
    <t xml:space="preserve">Escalate to supervisor if &gt;2h</t>
  </si>
  <si>
    <t xml:space="preserve">Daily ERP sync check</t>
  </si>
  <si>
    <t xml:space="preserve">Calo + DX</t>
  </si>
  <si>
    <t xml:space="preserve">EResource_Updated flag</t>
  </si>
  <si>
    <t xml:space="preserve">End of shift</t>
  </si>
  <si>
    <t xml:space="preserve">Halt issuances, page IT</t>
  </si>
  <si>
    <t xml:space="preserve">Weekly KPI scorecard review</t>
  </si>
  <si>
    <t xml:space="preserve">KPI sheet of this workbook</t>
  </si>
  <si>
    <t xml:space="preserve">Friday 30 min</t>
  </si>
  <si>
    <t xml:space="preserve">All Green or action plan</t>
  </si>
  <si>
    <t xml:space="preserve">Escalate Reds</t>
  </si>
  <si>
    <t xml:space="preserve">Weekly RCA of P95 outlier requests</t>
  </si>
  <si>
    <t xml:space="preserve">1 root cause documented + action</t>
  </si>
  <si>
    <t xml:space="preserve">Add to improvement backlog</t>
  </si>
  <si>
    <t xml:space="preserve">Monthly full stock count</t>
  </si>
  <si>
    <t xml:space="preserve">Calo (+ helper)</t>
  </si>
  <si>
    <t xml:space="preserve">SOP 6 procedure</t>
  </si>
  <si>
    <t xml:space="preserve">Last Friday of month</t>
  </si>
  <si>
    <t xml:space="preserve">&gt;=95% accuracy</t>
  </si>
  <si>
    <t xml:space="preserve">Investigate &gt;5% variance</t>
  </si>
  <si>
    <t xml:space="preserve">Monthly KPI vs target review</t>
  </si>
  <si>
    <t xml:space="preserve">KPI sheet trend</t>
  </si>
  <si>
    <t xml:space="preserve">1st Tuesday</t>
  </si>
  <si>
    <t xml:space="preserve">&gt;=80% KPIs green</t>
  </si>
  <si>
    <t xml:space="preserve">Re-plan Reds</t>
  </si>
  <si>
    <t xml:space="preserve">Monthly low-stock alert hit-rate audit</t>
  </si>
  <si>
    <t xml:space="preserve">App alert log vs stockout events</t>
  </si>
  <si>
    <t xml:space="preserve">1st Wednesday</t>
  </si>
  <si>
    <t xml:space="preserve">100% alerts pre-stockout</t>
  </si>
  <si>
    <t xml:space="preserve">Adjust thresholds</t>
  </si>
  <si>
    <t xml:space="preserve">Quarterly catalog hygiene review</t>
  </si>
  <si>
    <t xml:space="preserve">Synonym list, photo coverage, defect→category map</t>
  </si>
  <si>
    <t xml:space="preserve">100% items with photo</t>
  </si>
  <si>
    <t xml:space="preserve">Backlog any gaps</t>
  </si>
  <si>
    <t xml:space="preserve">Quarterly SOP review</t>
  </si>
  <si>
    <t xml:space="preserve">SOPs doc</t>
  </si>
  <si>
    <t xml:space="preserve">All SOPs reviewed; changes versioned</t>
  </si>
  <si>
    <t xml:space="preserve">Update + re-circulate</t>
  </si>
  <si>
    <t xml:space="preserve">Annual control plan review</t>
  </si>
  <si>
    <t xml:space="preserve">This sheet</t>
  </si>
  <si>
    <t xml:space="preserve">Annual</t>
  </si>
  <si>
    <t xml:space="preserve">Plan updated</t>
  </si>
  <si>
    <t xml:space="preserve">Annual capacity model refresh</t>
  </si>
  <si>
    <t xml:space="preserve">Capacity sheet inputs</t>
  </si>
  <si>
    <t xml:space="preserve">ρ &lt; 0.85 sustained</t>
  </si>
  <si>
    <t xml:space="preserve">Add backup-SC capacity</t>
  </si>
  <si>
    <t xml:space="preserve">IMPLEMENTATION — Kotter 8 + ADKAR mapped to milestone tracker (Step 19)</t>
  </si>
  <si>
    <t xml:space="preserve">Kotter step</t>
  </si>
  <si>
    <t xml:space="preserve">ADKAR phase</t>
  </si>
  <si>
    <t xml:space="preserve">Action</t>
  </si>
  <si>
    <t xml:space="preserve">Maps to Tracker / Doc</t>
  </si>
  <si>
    <t xml:space="preserve">Timing</t>
  </si>
  <si>
    <t xml:space="preserve">Kotter 1 — Urgency</t>
  </si>
  <si>
    <t xml:space="preserve">ADKAR — Awareness</t>
  </si>
  <si>
    <t xml:space="preserve">Site brief + 'one slide of pain' (30-45 min daily ERP, lost rentals from stockouts)</t>
  </si>
  <si>
    <t xml:space="preserve">Already implicit in project</t>
  </si>
  <si>
    <t xml:space="preserve">Week 0 (done)</t>
  </si>
  <si>
    <t xml:space="preserve">Kotter 2 — Coalition</t>
  </si>
  <si>
    <t xml:space="preserve">Named coalition: Calo, Vincent (sponsor), John (ops), Mohamed Thakur (peer), DX Team, IT</t>
  </si>
  <si>
    <t xml:space="preserve">Documented in PRD/Tracker</t>
  </si>
  <si>
    <t xml:space="preserve">Kotter 3 — Vision</t>
  </si>
  <si>
    <t xml:space="preserve">ADKAR — Desire</t>
  </si>
  <si>
    <t xml:space="preserve">One-page vision: 'every part issued is logged, every asset's needs are visible, SC works remote with confidence'</t>
  </si>
  <si>
    <t xml:space="preserve">PRD §1 covers it</t>
  </si>
  <si>
    <t xml:space="preserve">Kotter 4 — Communicate vision</t>
  </si>
  <si>
    <t xml:space="preserve">Pre-launch briefings (PRD §17 — 15 min each); workshop poster</t>
  </si>
  <si>
    <t xml:space="preserve">Tracker task 72</t>
  </si>
  <si>
    <t xml:space="preserve">Week 11–12</t>
  </si>
  <si>
    <t xml:space="preserve">Kotter 5 — Empower action</t>
  </si>
  <si>
    <t xml:space="preserve">ADKAR — Knowledge + Ability</t>
  </si>
  <si>
    <t xml:space="preserve">Worker briefings + SC walkthrough (Tracker 72-73); SOP cards at workshop counter; pilot during parallel run</t>
  </si>
  <si>
    <t xml:space="preserve">Tracker 72-73-74</t>
  </si>
  <si>
    <t xml:space="preserve">Calo + DX Team</t>
  </si>
  <si>
    <t xml:space="preserve">Week 12</t>
  </si>
  <si>
    <t xml:space="preserve">Kotter 6 — Short-term wins</t>
  </si>
  <si>
    <t xml:space="preserve">ADKAR — Ability + Reinforcement</t>
  </si>
  <si>
    <t xml:space="preserve">Daily KPI scoreboard during parallel run; weekly 'wins' Slack/WhatsApp message</t>
  </si>
  <si>
    <t xml:space="preserve">Week 12-14</t>
  </si>
  <si>
    <t xml:space="preserve">Kotter 7 — Consolidate gains</t>
  </si>
  <si>
    <t xml:space="preserve">ADKAR — Reinforcement</t>
  </si>
  <si>
    <t xml:space="preserve">30-day review (Tracker task 77) + iterate on defect→category map + add backlog requests to roadmap</t>
  </si>
  <si>
    <t xml:space="preserve">Tracker 77</t>
  </si>
  <si>
    <t xml:space="preserve">Week 16</t>
  </si>
  <si>
    <t xml:space="preserve">Kotter 8 — Anchor in culture</t>
  </si>
  <si>
    <t xml:space="preserve">SOPs locked in; SOPs re-reviewed every 6 months; KPI scoreboard always visible; new joiners trained on app first</t>
  </si>
  <si>
    <t xml:space="preserve">Continuous</t>
  </si>
  <si>
    <t xml:space="preserve">Ongoing</t>
  </si>
  <si>
    <t xml:space="preserve">RISK MGMT</t>
  </si>
  <si>
    <t xml:space="preserve">Run risk register weekly during launch; review FMEA monthly post-launch</t>
  </si>
  <si>
    <t xml:space="preserve">FMEA sheet</t>
  </si>
  <si>
    <t xml:space="preserve">CHANGE LOG</t>
  </si>
  <si>
    <t xml:space="preserve">Version control on PRD/SOPs/Process via Google Drive; never overwrite — append v1.2 → v1.3</t>
  </si>
  <si>
    <t xml:space="preserve">Docs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</si>
</sst>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1.75" hidden="false" customHeight="true" outlineLevel="0" collapsed="false">
      <c r="A5" s="5" t="s">
        <v>3</v>
      </c>
      <c r="B5" s="5"/>
    </row>
    <row r="6" customFormat="false" ht="15" hidden="false" customHeight="true" outlineLevel="0" collapsed="false">
      <c r="A6" s="6" t="s">
        <v>4</v>
      </c>
      <c r="B6" s="7" t="s">
        <v>5</v>
      </c>
    </row>
    <row r="7" customFormat="false" ht="15" hidden="false" customHeight="true" outlineLevel="0" collapsed="false">
      <c r="A7" s="8" t="s">
        <v>6</v>
      </c>
      <c r="B7" s="9" t="s">
        <v>7</v>
      </c>
    </row>
    <row r="8" customFormat="false" ht="15" hidden="false" customHeight="true" outlineLevel="0" collapsed="false">
      <c r="A8" s="8" t="s">
        <v>8</v>
      </c>
      <c r="B8" s="9" t="s">
        <v>9</v>
      </c>
    </row>
    <row r="9" customFormat="false" ht="15" hidden="false" customHeight="true" outlineLevel="0" collapsed="false">
      <c r="A9" s="8" t="s">
        <v>10</v>
      </c>
      <c r="B9" s="9" t="s">
        <v>11</v>
      </c>
    </row>
    <row r="10" customFormat="false" ht="15" hidden="false" customHeight="true" outlineLevel="0" collapsed="false">
      <c r="A10" s="8" t="s">
        <v>12</v>
      </c>
      <c r="B10" s="9" t="s">
        <v>13</v>
      </c>
    </row>
    <row r="11" customFormat="false" ht="15" hidden="false" customHeight="true" outlineLevel="0" collapsed="false">
      <c r="A11" s="8" t="s">
        <v>14</v>
      </c>
      <c r="B11" s="9" t="s">
        <v>15</v>
      </c>
    </row>
    <row r="12" customFormat="false" ht="15" hidden="false" customHeight="true" outlineLevel="0" collapsed="false">
      <c r="A12" s="8" t="s">
        <v>16</v>
      </c>
      <c r="B12" s="9" t="s">
        <v>17</v>
      </c>
    </row>
    <row r="13" customFormat="false" ht="15" hidden="false" customHeight="true" outlineLevel="0" collapsed="false">
      <c r="A13" s="8" t="s">
        <v>18</v>
      </c>
      <c r="B13" s="9" t="s">
        <v>19</v>
      </c>
    </row>
    <row r="14" customFormat="false" ht="15" hidden="false" customHeight="true" outlineLevel="0" collapsed="false">
      <c r="A14" s="8" t="s">
        <v>20</v>
      </c>
      <c r="B14" s="9" t="s">
        <v>21</v>
      </c>
    </row>
    <row r="15" customFormat="false" ht="15" hidden="false" customHeight="true" outlineLevel="0" collapsed="false">
      <c r="A15" s="8" t="s">
        <v>22</v>
      </c>
      <c r="B15" s="9" t="s">
        <v>23</v>
      </c>
    </row>
    <row r="16" customFormat="false" ht="15" hidden="false" customHeight="true" outlineLevel="0" collapsed="false">
      <c r="A16" s="8" t="s">
        <v>24</v>
      </c>
      <c r="B16" s="9" t="s">
        <v>25</v>
      </c>
    </row>
    <row r="20" customFormat="false" ht="21.75" hidden="false" customHeight="true" outlineLevel="0" collapsed="false">
      <c r="A20" s="5" t="s">
        <v>26</v>
      </c>
      <c r="B20" s="5"/>
    </row>
    <row r="21" customFormat="false" ht="15" hidden="false" customHeight="true" outlineLevel="0" collapsed="false">
      <c r="A21" s="8" t="s">
        <v>27</v>
      </c>
      <c r="B21" s="8" t="s">
        <v>28</v>
      </c>
    </row>
    <row r="22" customFormat="false" ht="15" hidden="false" customHeight="true" outlineLevel="0" collapsed="false">
      <c r="A22" s="8" t="s">
        <v>29</v>
      </c>
      <c r="B22" s="8" t="s">
        <v>30</v>
      </c>
    </row>
    <row r="23" customFormat="false" ht="15" hidden="false" customHeight="true" outlineLevel="0" collapsed="false">
      <c r="A23" s="8" t="s">
        <v>31</v>
      </c>
      <c r="B23" s="8" t="s">
        <v>32</v>
      </c>
    </row>
    <row r="24" customFormat="false" ht="15" hidden="false" customHeight="true" outlineLevel="0" collapsed="false">
      <c r="A24" s="8" t="s">
        <v>33</v>
      </c>
      <c r="B24" s="8" t="s">
        <v>34</v>
      </c>
    </row>
    <row r="25" customFormat="false" ht="15" hidden="false" customHeight="true" outlineLevel="0" collapsed="false">
      <c r="A25" s="8" t="s">
        <v>35</v>
      </c>
      <c r="B25" s="8" t="s">
        <v>36</v>
      </c>
    </row>
    <row r="26" customFormat="false" ht="15" hidden="false" customHeight="true" outlineLevel="0" collapsed="false">
      <c r="A26" s="8" t="s">
        <v>37</v>
      </c>
      <c r="B26" s="8" t="s">
        <v>38</v>
      </c>
    </row>
  </sheetData>
  <mergeCells count="2">
    <mergeCell ref="A5:B5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38"/>
    <col collapsed="false" customWidth="true" hidden="false" outlineLevel="0" max="4" min="4" style="1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5" t="s">
        <v>39</v>
      </c>
      <c r="B1" s="5"/>
      <c r="C1" s="5"/>
      <c r="D1" s="5"/>
      <c r="E1" s="5"/>
    </row>
    <row r="2" customFormat="false" ht="15" hidden="false" customHeight="true" outlineLevel="0" collapsed="false">
      <c r="A2" s="4" t="s">
        <v>40</v>
      </c>
    </row>
    <row r="4" customFormat="false" ht="15" hidden="false" customHeight="true" outlineLevel="0" collapsed="false">
      <c r="A4" s="10" t="s">
        <v>41</v>
      </c>
      <c r="B4" s="10" t="s">
        <v>42</v>
      </c>
      <c r="C4" s="10" t="s">
        <v>43</v>
      </c>
      <c r="D4" s="10" t="s">
        <v>44</v>
      </c>
      <c r="E4" s="10" t="s">
        <v>45</v>
      </c>
    </row>
    <row r="5" customFormat="false" ht="45.75" hidden="false" customHeight="true" outlineLevel="0" collapsed="false">
      <c r="A5" s="9" t="s">
        <v>46</v>
      </c>
      <c r="B5" s="9" t="n">
        <v>500</v>
      </c>
      <c r="C5" s="9" t="s">
        <v>47</v>
      </c>
      <c r="D5" s="9" t="s">
        <v>48</v>
      </c>
      <c r="E5" s="9" t="s">
        <v>49</v>
      </c>
    </row>
    <row r="6" customFormat="false" ht="45.75" hidden="false" customHeight="true" outlineLevel="0" collapsed="false">
      <c r="A6" s="9" t="s">
        <v>50</v>
      </c>
      <c r="B6" s="9" t="s">
        <v>51</v>
      </c>
      <c r="C6" s="9" t="s">
        <v>52</v>
      </c>
      <c r="D6" s="9" t="s">
        <v>53</v>
      </c>
      <c r="E6" s="9" t="s">
        <v>54</v>
      </c>
    </row>
    <row r="7" customFormat="false" ht="45.75" hidden="false" customHeight="true" outlineLevel="0" collapsed="false">
      <c r="A7" s="9" t="s">
        <v>55</v>
      </c>
      <c r="B7" s="9" t="s">
        <v>56</v>
      </c>
      <c r="C7" s="9" t="s">
        <v>57</v>
      </c>
      <c r="D7" s="9" t="s">
        <v>58</v>
      </c>
      <c r="E7" s="9" t="s">
        <v>59</v>
      </c>
    </row>
    <row r="8" customFormat="false" ht="34.5" hidden="false" customHeight="true" outlineLevel="0" collapsed="false">
      <c r="A8" s="9" t="s">
        <v>60</v>
      </c>
      <c r="B8" s="9" t="s">
        <v>61</v>
      </c>
      <c r="C8" s="9" t="s">
        <v>62</v>
      </c>
      <c r="D8" s="9" t="s">
        <v>63</v>
      </c>
      <c r="E8" s="9" t="s">
        <v>64</v>
      </c>
    </row>
    <row r="9" customFormat="false" ht="34.5" hidden="false" customHeight="true" outlineLevel="0" collapsed="false">
      <c r="A9" s="9" t="s">
        <v>65</v>
      </c>
      <c r="B9" s="9" t="s">
        <v>66</v>
      </c>
      <c r="C9" s="9" t="s">
        <v>67</v>
      </c>
      <c r="D9" s="9" t="s">
        <v>58</v>
      </c>
      <c r="E9" s="9" t="s">
        <v>68</v>
      </c>
    </row>
    <row r="10" customFormat="false" ht="45.75" hidden="false" customHeight="true" outlineLevel="0" collapsed="false">
      <c r="A10" s="9" t="s">
        <v>69</v>
      </c>
      <c r="B10" s="9" t="s">
        <v>70</v>
      </c>
      <c r="C10" s="9" t="s">
        <v>62</v>
      </c>
      <c r="D10" s="9" t="s">
        <v>58</v>
      </c>
      <c r="E10" s="9" t="s">
        <v>71</v>
      </c>
    </row>
    <row r="11" customFormat="false" ht="68.25" hidden="false" customHeight="true" outlineLevel="0" collapsed="false">
      <c r="A11" s="9" t="s">
        <v>72</v>
      </c>
      <c r="B11" s="9" t="s">
        <v>73</v>
      </c>
      <c r="C11" s="9" t="s">
        <v>51</v>
      </c>
      <c r="D11" s="9" t="s">
        <v>58</v>
      </c>
      <c r="E11" s="9" t="s">
        <v>74</v>
      </c>
    </row>
    <row r="12" customFormat="false" ht="34.5" hidden="false" customHeight="true" outlineLevel="0" collapsed="false">
      <c r="A12" s="9" t="s">
        <v>75</v>
      </c>
      <c r="B12" s="9" t="s">
        <v>76</v>
      </c>
      <c r="C12" s="9" t="s">
        <v>77</v>
      </c>
      <c r="D12" s="9" t="s">
        <v>78</v>
      </c>
      <c r="E12" s="9" t="s">
        <v>79</v>
      </c>
    </row>
    <row r="13" customFormat="false" ht="23.25" hidden="false" customHeight="true" outlineLevel="0" collapsed="false">
      <c r="A13" s="9" t="s">
        <v>80</v>
      </c>
      <c r="B13" s="9" t="n">
        <v>1</v>
      </c>
      <c r="C13" s="9" t="n">
        <v>1</v>
      </c>
      <c r="D13" s="9" t="s">
        <v>81</v>
      </c>
      <c r="E13" s="9" t="s">
        <v>82</v>
      </c>
    </row>
    <row r="14" customFormat="false" ht="45.75" hidden="false" customHeight="true" outlineLevel="0" collapsed="false">
      <c r="A14" s="9" t="s">
        <v>83</v>
      </c>
      <c r="B14" s="9" t="s">
        <v>84</v>
      </c>
      <c r="C14" s="9" t="s">
        <v>85</v>
      </c>
      <c r="D14" s="9" t="s">
        <v>86</v>
      </c>
      <c r="E14" s="9" t="s">
        <v>87</v>
      </c>
    </row>
    <row r="15" customFormat="false" ht="23.25" hidden="false" customHeight="true" outlineLevel="0" collapsed="false">
      <c r="A15" s="9" t="s">
        <v>88</v>
      </c>
      <c r="B15" s="9" t="s">
        <v>89</v>
      </c>
      <c r="C15" s="9" t="s">
        <v>90</v>
      </c>
      <c r="D15" s="9" t="s">
        <v>91</v>
      </c>
      <c r="E15" s="9" t="s">
        <v>92</v>
      </c>
    </row>
    <row r="16" customFormat="false" ht="45.75" hidden="false" customHeight="true" outlineLevel="0" collapsed="false">
      <c r="A16" s="9" t="s">
        <v>93</v>
      </c>
      <c r="B16" s="9" t="s">
        <v>94</v>
      </c>
      <c r="C16" s="9" t="s">
        <v>95</v>
      </c>
      <c r="D16" s="9" t="s">
        <v>96</v>
      </c>
      <c r="E16" s="9" t="s">
        <v>97</v>
      </c>
    </row>
    <row r="17" customFormat="false" ht="34.5" hidden="false" customHeight="true" outlineLevel="0" collapsed="false">
      <c r="A17" s="9" t="s">
        <v>98</v>
      </c>
      <c r="B17" s="9" t="s">
        <v>94</v>
      </c>
      <c r="C17" s="9" t="s">
        <v>99</v>
      </c>
      <c r="D17" s="9" t="s">
        <v>100</v>
      </c>
      <c r="E17" s="9" t="s">
        <v>101</v>
      </c>
    </row>
    <row r="18" customFormat="false" ht="68.25" hidden="false" customHeight="true" outlineLevel="0" collapsed="false">
      <c r="A18" s="9" t="s">
        <v>102</v>
      </c>
      <c r="B18" s="9" t="s">
        <v>103</v>
      </c>
      <c r="C18" s="9" t="s">
        <v>104</v>
      </c>
      <c r="D18" s="9" t="s">
        <v>105</v>
      </c>
      <c r="E18" s="9" t="s">
        <v>106</v>
      </c>
    </row>
    <row r="22" customFormat="false" ht="21.75" hidden="false" customHeight="true" outlineLevel="0" collapsed="false">
      <c r="A22" s="5" t="s">
        <v>107</v>
      </c>
      <c r="B22" s="5"/>
      <c r="C22" s="5"/>
      <c r="D22" s="5"/>
      <c r="E22" s="5"/>
    </row>
    <row r="23" customFormat="false" ht="26.25" hidden="false" customHeight="true" outlineLevel="0" collapsed="false">
      <c r="A23" s="10" t="s">
        <v>108</v>
      </c>
      <c r="B23" s="10" t="s">
        <v>109</v>
      </c>
      <c r="C23" s="10" t="s">
        <v>110</v>
      </c>
      <c r="D23" s="10" t="s">
        <v>111</v>
      </c>
      <c r="E23" s="10" t="s">
        <v>112</v>
      </c>
    </row>
    <row r="24" customFormat="false" ht="23.25" hidden="false" customHeight="true" outlineLevel="0" collapsed="false">
      <c r="A24" s="9" t="s">
        <v>113</v>
      </c>
      <c r="B24" s="9" t="s">
        <v>114</v>
      </c>
      <c r="C24" s="9" t="s">
        <v>115</v>
      </c>
      <c r="D24" s="9" t="n">
        <v>0.45</v>
      </c>
      <c r="E24" s="9" t="s">
        <v>116</v>
      </c>
    </row>
    <row r="25" customFormat="false" ht="15" hidden="false" customHeight="true" outlineLevel="0" collapsed="false">
      <c r="A25" s="9" t="s">
        <v>117</v>
      </c>
      <c r="B25" s="9" t="s">
        <v>118</v>
      </c>
      <c r="C25" s="9" t="s">
        <v>119</v>
      </c>
      <c r="D25" s="9" t="n">
        <v>0.35</v>
      </c>
      <c r="E25" s="9" t="s">
        <v>120</v>
      </c>
    </row>
    <row r="26" customFormat="false" ht="23.25" hidden="false" customHeight="true" outlineLevel="0" collapsed="false">
      <c r="A26" s="9" t="s">
        <v>121</v>
      </c>
      <c r="B26" s="9" t="s">
        <v>122</v>
      </c>
      <c r="C26" s="9" t="s">
        <v>123</v>
      </c>
      <c r="D26" s="9" t="n">
        <v>0.2</v>
      </c>
      <c r="E26" s="9" t="s">
        <v>124</v>
      </c>
    </row>
    <row r="27" customFormat="false" ht="15" hidden="false" customHeight="true" outlineLevel="0" collapsed="false">
      <c r="A27" s="9" t="s">
        <v>125</v>
      </c>
      <c r="B27" s="9" t="s">
        <v>126</v>
      </c>
      <c r="C27" s="9" t="s">
        <v>127</v>
      </c>
      <c r="D27" s="9" t="n">
        <v>0</v>
      </c>
      <c r="E27" s="9" t="s">
        <v>128</v>
      </c>
    </row>
    <row r="28" customFormat="false" ht="23.25" hidden="false" customHeight="true" outlineLevel="0" collapsed="false">
      <c r="A28" s="9" t="s">
        <v>129</v>
      </c>
      <c r="B28" s="9" t="s">
        <v>130</v>
      </c>
      <c r="C28" s="9" t="s">
        <v>127</v>
      </c>
      <c r="D28" s="9" t="n">
        <v>0</v>
      </c>
      <c r="E28" s="9" t="s">
        <v>131</v>
      </c>
    </row>
    <row r="29" customFormat="false" ht="15" hidden="false" customHeight="true" outlineLevel="0" collapsed="false">
      <c r="A29" s="9" t="s">
        <v>132</v>
      </c>
      <c r="B29" s="9" t="s">
        <v>133</v>
      </c>
      <c r="C29" s="9" t="s">
        <v>127</v>
      </c>
      <c r="D29" s="9" t="n">
        <v>0</v>
      </c>
      <c r="E29" s="9" t="s">
        <v>134</v>
      </c>
    </row>
    <row r="30" customFormat="false" ht="23.25" hidden="false" customHeight="true" outlineLevel="0" collapsed="false">
      <c r="A30" s="9" t="s">
        <v>135</v>
      </c>
      <c r="B30" s="9" t="s">
        <v>136</v>
      </c>
      <c r="C30" s="9" t="s">
        <v>137</v>
      </c>
      <c r="D30" s="9" t="n">
        <v>0.3</v>
      </c>
      <c r="E30" s="9" t="s">
        <v>138</v>
      </c>
    </row>
    <row r="31" customFormat="false" ht="15" hidden="false" customHeight="true" outlineLevel="0" collapsed="false">
      <c r="A31" s="9" t="s">
        <v>139</v>
      </c>
      <c r="B31" s="9" t="s">
        <v>140</v>
      </c>
      <c r="C31" s="9" t="s">
        <v>141</v>
      </c>
      <c r="D31" s="9" t="n">
        <v>0</v>
      </c>
      <c r="E31" s="9" t="s">
        <v>142</v>
      </c>
    </row>
    <row r="32" customFormat="false" ht="15" hidden="false" customHeight="true" outlineLevel="0" collapsed="false">
      <c r="A32" s="9" t="s">
        <v>143</v>
      </c>
      <c r="B32" s="9" t="s">
        <v>144</v>
      </c>
      <c r="C32" s="9" t="s">
        <v>127</v>
      </c>
      <c r="D32" s="9" t="n">
        <v>0</v>
      </c>
      <c r="E32" s="9" t="s">
        <v>145</v>
      </c>
    </row>
  </sheetData>
  <mergeCells count="2">
    <mergeCell ref="A1:E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38"/>
    <col collapsed="false" customWidth="true" hidden="false" outlineLevel="0" max="6" min="4" style="1" width="12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21.75" hidden="false" customHeight="true" outlineLevel="0" collapsed="false">
      <c r="A1" s="5" t="s">
        <v>146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4" t="s">
        <v>147</v>
      </c>
    </row>
    <row r="4" customFormat="false" ht="26.25" hidden="false" customHeight="true" outlineLevel="0" collapsed="false">
      <c r="A4" s="10" t="s">
        <v>148</v>
      </c>
      <c r="B4" s="10" t="s">
        <v>8</v>
      </c>
      <c r="C4" s="10" t="s">
        <v>149</v>
      </c>
      <c r="D4" s="10" t="s">
        <v>150</v>
      </c>
      <c r="E4" s="10" t="s">
        <v>151</v>
      </c>
      <c r="F4" s="10" t="s">
        <v>110</v>
      </c>
      <c r="G4" s="10" t="s">
        <v>152</v>
      </c>
      <c r="H4" s="10" t="s">
        <v>153</v>
      </c>
    </row>
    <row r="5" customFormat="false" ht="15" hidden="false" customHeight="true" outlineLevel="0" collapsed="false">
      <c r="A5" s="9" t="n">
        <v>1</v>
      </c>
      <c r="B5" s="9" t="s">
        <v>50</v>
      </c>
      <c r="C5" s="9" t="s">
        <v>154</v>
      </c>
      <c r="D5" s="9" t="n">
        <v>0</v>
      </c>
      <c r="E5" s="9" t="n">
        <v>0</v>
      </c>
      <c r="F5" s="9" t="str">
        <f aca="false">IF(E5&lt;=D5,"GREEN",IF(E5&lt;=D5+0.05,"AMBER","RED"))</f>
        <v>GREEN</v>
      </c>
      <c r="G5" s="9" t="s">
        <v>155</v>
      </c>
      <c r="H5" s="9" t="s">
        <v>156</v>
      </c>
    </row>
    <row r="6" customFormat="false" ht="23.25" hidden="false" customHeight="true" outlineLevel="0" collapsed="false">
      <c r="A6" s="9" t="n">
        <v>2</v>
      </c>
      <c r="B6" s="9" t="s">
        <v>157</v>
      </c>
      <c r="C6" s="9" t="s">
        <v>158</v>
      </c>
      <c r="D6" s="9" t="n">
        <v>2</v>
      </c>
      <c r="E6" s="9" t="n">
        <v>1.5</v>
      </c>
      <c r="F6" s="9" t="str">
        <f aca="false">IF(E6&lt;=D6,"GREEN",IF(E6&lt;=D6*1.2,"AMBER","RED"))</f>
        <v>GREEN</v>
      </c>
      <c r="G6" s="9" t="s">
        <v>159</v>
      </c>
      <c r="H6" s="9" t="s">
        <v>160</v>
      </c>
    </row>
    <row r="7" customFormat="false" ht="15" hidden="false" customHeight="true" outlineLevel="0" collapsed="false">
      <c r="A7" s="9" t="n">
        <v>3</v>
      </c>
      <c r="B7" s="9" t="s">
        <v>161</v>
      </c>
      <c r="C7" s="9" t="s">
        <v>162</v>
      </c>
      <c r="D7" s="9" t="n">
        <v>30</v>
      </c>
      <c r="E7" s="9" t="n">
        <v>25</v>
      </c>
      <c r="F7" s="9" t="str">
        <f aca="false">IF(E7&lt;=D7,"GREEN",IF(E7&lt;=D7*1.2,"AMBER","RED"))</f>
        <v>GREEN</v>
      </c>
      <c r="G7" s="9" t="s">
        <v>155</v>
      </c>
      <c r="H7" s="9" t="s">
        <v>156</v>
      </c>
    </row>
    <row r="8" customFormat="false" ht="15" hidden="false" customHeight="true" outlineLevel="0" collapsed="false">
      <c r="A8" s="9" t="n">
        <v>4</v>
      </c>
      <c r="B8" s="9" t="s">
        <v>163</v>
      </c>
      <c r="C8" s="9" t="s">
        <v>164</v>
      </c>
      <c r="D8" s="9" t="n">
        <v>0.85</v>
      </c>
      <c r="E8" s="9" t="n">
        <v>0.8</v>
      </c>
      <c r="F8" s="9" t="str">
        <f aca="false">IF(E8&gt;=D8,"GREEN",IF(E8&gt;=D8*0.9,"AMBER","RED"))</f>
        <v>AMBER</v>
      </c>
      <c r="G8" s="9" t="s">
        <v>155</v>
      </c>
      <c r="H8" s="9" t="s">
        <v>160</v>
      </c>
    </row>
    <row r="9" customFormat="false" ht="15" hidden="false" customHeight="true" outlineLevel="0" collapsed="false">
      <c r="A9" s="9" t="n">
        <v>5</v>
      </c>
      <c r="B9" s="9" t="s">
        <v>165</v>
      </c>
      <c r="C9" s="9" t="s">
        <v>166</v>
      </c>
      <c r="D9" s="9" t="n">
        <v>0.1</v>
      </c>
      <c r="E9" s="9" t="n">
        <v>0.15</v>
      </c>
      <c r="F9" s="9" t="str">
        <f aca="false">IF(E9&lt;=D9,"GREEN",IF(E9&lt;=D9*1.5,"AMBER","RED"))</f>
        <v>AMBER</v>
      </c>
      <c r="G9" s="9" t="s">
        <v>155</v>
      </c>
      <c r="H9" s="9" t="s">
        <v>160</v>
      </c>
    </row>
    <row r="10" customFormat="false" ht="15" hidden="false" customHeight="true" outlineLevel="0" collapsed="false">
      <c r="A10" s="9" t="n">
        <v>6</v>
      </c>
      <c r="B10" s="9" t="s">
        <v>167</v>
      </c>
      <c r="C10" s="9" t="s">
        <v>168</v>
      </c>
      <c r="D10" s="9" t="n">
        <v>0.05</v>
      </c>
      <c r="E10" s="9" t="n">
        <v>0.05</v>
      </c>
      <c r="F10" s="9" t="str">
        <f aca="false">IF(E10&lt;=D10,"GREEN",IF(E10&lt;=D10*1.5,"AMBER","RED"))</f>
        <v>GREEN</v>
      </c>
      <c r="G10" s="9" t="s">
        <v>155</v>
      </c>
      <c r="H10" s="9" t="s">
        <v>160</v>
      </c>
    </row>
    <row r="11" customFormat="false" ht="15" hidden="false" customHeight="true" outlineLevel="0" collapsed="false">
      <c r="A11" s="9" t="n">
        <v>7</v>
      </c>
      <c r="B11" s="9" t="s">
        <v>169</v>
      </c>
      <c r="C11" s="9" t="s">
        <v>170</v>
      </c>
      <c r="D11" s="9" t="n">
        <v>0</v>
      </c>
      <c r="E11" s="9" t="n">
        <v>0</v>
      </c>
      <c r="F11" s="9" t="str">
        <f aca="false">IF(E11&lt;=D11,"GREEN",IF(E11&lt;=D11+1,"AMBER","RED"))</f>
        <v>GREEN</v>
      </c>
      <c r="G11" s="9" t="s">
        <v>155</v>
      </c>
      <c r="H11" s="9" t="s">
        <v>160</v>
      </c>
    </row>
    <row r="12" customFormat="false" ht="15" hidden="false" customHeight="true" outlineLevel="0" collapsed="false">
      <c r="A12" s="9" t="n">
        <v>8</v>
      </c>
      <c r="B12" s="9" t="s">
        <v>171</v>
      </c>
      <c r="C12" s="9" t="s">
        <v>172</v>
      </c>
      <c r="D12" s="9" t="n">
        <v>1</v>
      </c>
      <c r="E12" s="9" t="n">
        <v>1</v>
      </c>
      <c r="F12" s="9" t="str">
        <f aca="false">IF(E12&gt;=D12,"GREEN",IF(E12&gt;=D12*0.9,"AMBER","RED"))</f>
        <v>GREEN</v>
      </c>
      <c r="G12" s="9" t="s">
        <v>155</v>
      </c>
      <c r="H12" s="9" t="s">
        <v>156</v>
      </c>
    </row>
    <row r="13" customFormat="false" ht="15" hidden="false" customHeight="true" outlineLevel="0" collapsed="false">
      <c r="A13" s="9" t="n">
        <v>9</v>
      </c>
      <c r="B13" s="9" t="s">
        <v>173</v>
      </c>
      <c r="C13" s="9" t="s">
        <v>174</v>
      </c>
      <c r="D13" s="9" t="n">
        <v>1</v>
      </c>
      <c r="E13" s="9" t="n">
        <v>1</v>
      </c>
      <c r="F13" s="9" t="str">
        <f aca="false">IF(E13&gt;=D13,"GREEN",IF(E13&gt;=D13*0.98,"AMBER","RED"))</f>
        <v>GREEN</v>
      </c>
      <c r="G13" s="9" t="s">
        <v>175</v>
      </c>
      <c r="H13" s="9" t="s">
        <v>156</v>
      </c>
    </row>
    <row r="14" customFormat="false" ht="15" hidden="false" customHeight="true" outlineLevel="0" collapsed="false">
      <c r="A14" s="9" t="n">
        <v>10</v>
      </c>
      <c r="B14" s="9" t="s">
        <v>176</v>
      </c>
      <c r="C14" s="9" t="s">
        <v>177</v>
      </c>
      <c r="D14" s="9" t="n">
        <v>0.95</v>
      </c>
      <c r="E14" s="9" t="n">
        <v>0.95</v>
      </c>
      <c r="F14" s="9" t="str">
        <f aca="false">IF(E14&gt;=D14,"GREEN",IF(E14&gt;=D14*0.95,"AMBER","RED"))</f>
        <v>GREEN</v>
      </c>
      <c r="G14" s="9" t="s">
        <v>155</v>
      </c>
      <c r="H14" s="9" t="s">
        <v>178</v>
      </c>
    </row>
    <row r="15" customFormat="false" ht="15" hidden="false" customHeight="true" outlineLevel="0" collapsed="false">
      <c r="A15" s="9" t="n">
        <v>11</v>
      </c>
      <c r="B15" s="9" t="s">
        <v>179</v>
      </c>
      <c r="C15" s="9" t="s">
        <v>180</v>
      </c>
      <c r="D15" s="9" t="n">
        <v>0.1</v>
      </c>
      <c r="E15" s="9" t="n">
        <v>0.1</v>
      </c>
      <c r="F15" s="9" t="str">
        <f aca="false">IF(E15&lt;=D15,"GREEN",IF(E15&lt;=D15*1.5,"AMBER","RED"))</f>
        <v>GREEN</v>
      </c>
      <c r="G15" s="9" t="s">
        <v>155</v>
      </c>
      <c r="H15" s="9" t="s">
        <v>160</v>
      </c>
    </row>
    <row r="16" customFormat="false" ht="15" hidden="false" customHeight="true" outlineLevel="0" collapsed="false">
      <c r="A16" s="9" t="n">
        <v>12</v>
      </c>
      <c r="B16" s="9" t="s">
        <v>181</v>
      </c>
      <c r="C16" s="9" t="s">
        <v>182</v>
      </c>
      <c r="D16" s="9" t="n">
        <v>0.85</v>
      </c>
      <c r="E16" s="9" t="n">
        <v>0.7</v>
      </c>
      <c r="F16" s="9" t="str">
        <f aca="false">IF(E16&lt;=D16,"GREEN",IF(E16&lt;=0.95,"AMBER","RED"))</f>
        <v>GREEN</v>
      </c>
      <c r="G16" s="9" t="s">
        <v>183</v>
      </c>
      <c r="H16" s="9" t="s">
        <v>160</v>
      </c>
    </row>
    <row r="17" customFormat="false" ht="15" hidden="false" customHeight="true" outlineLevel="0" collapsed="false">
      <c r="A17" s="9" t="n">
        <v>13</v>
      </c>
      <c r="B17" s="9" t="s">
        <v>184</v>
      </c>
      <c r="C17" s="9" t="s">
        <v>185</v>
      </c>
      <c r="D17" s="9" t="n">
        <v>10</v>
      </c>
      <c r="E17" s="9" t="n">
        <v>8</v>
      </c>
      <c r="F17" s="9" t="str">
        <f aca="false">IF(E17&lt;=D17,"GREEN",IF(E17&lt;=D17*1.2,"AMBER","RED"))</f>
        <v>GREEN</v>
      </c>
      <c r="G17" s="9" t="s">
        <v>155</v>
      </c>
      <c r="H17" s="9" t="s">
        <v>160</v>
      </c>
    </row>
    <row r="18" customFormat="false" ht="15" hidden="false" customHeight="true" outlineLevel="0" collapsed="false">
      <c r="A18" s="9" t="n">
        <v>14</v>
      </c>
      <c r="B18" s="9" t="s">
        <v>186</v>
      </c>
      <c r="C18" s="9" t="s">
        <v>187</v>
      </c>
      <c r="D18" s="9" t="n">
        <v>5</v>
      </c>
      <c r="E18" s="9" t="n">
        <v>4</v>
      </c>
      <c r="F18" s="9" t="str">
        <f aca="false">IF(E18&lt;=D18,"GREEN",IF(E18&lt;=D18*1.5,"AMBER","RED"))</f>
        <v>GREEN</v>
      </c>
      <c r="G18" s="9" t="s">
        <v>155</v>
      </c>
      <c r="H18" s="9" t="s">
        <v>160</v>
      </c>
    </row>
    <row r="19" customFormat="false" ht="15" hidden="false" customHeight="true" outlineLevel="0" collapsed="false">
      <c r="A19" s="9" t="n">
        <v>15</v>
      </c>
      <c r="B19" s="9" t="s">
        <v>69</v>
      </c>
      <c r="C19" s="9" t="s">
        <v>188</v>
      </c>
      <c r="D19" s="9" t="n">
        <v>15</v>
      </c>
      <c r="E19" s="9" t="n">
        <v>12</v>
      </c>
      <c r="F19" s="9" t="str">
        <f aca="false">IF(E19&lt;=D19,"GREEN",IF(E19&lt;=D19*1.2,"AMBER","RED"))</f>
        <v>GREEN</v>
      </c>
      <c r="G19" s="9" t="s">
        <v>155</v>
      </c>
      <c r="H19" s="9" t="s">
        <v>189</v>
      </c>
    </row>
    <row r="20" customFormat="false" ht="15" hidden="false" customHeight="true" outlineLevel="0" collapsed="false">
      <c r="A20" s="9" t="n">
        <v>16</v>
      </c>
      <c r="B20" s="9" t="s">
        <v>190</v>
      </c>
      <c r="C20" s="9" t="s">
        <v>191</v>
      </c>
      <c r="D20" s="9" t="n">
        <v>6</v>
      </c>
      <c r="E20" s="9" t="n">
        <v>4</v>
      </c>
      <c r="F20" s="9" t="str">
        <f aca="false">IF(E20&gt;=D20,"GREEN",IF(E20&gt;=D20*0.8,"AMBER","RED"))</f>
        <v>RED</v>
      </c>
      <c r="G20" s="9" t="s">
        <v>183</v>
      </c>
      <c r="H20" s="9" t="s">
        <v>192</v>
      </c>
    </row>
  </sheetData>
  <mergeCells count="1">
    <mergeCell ref="A1:H1"/>
  </mergeCells>
  <conditionalFormatting sqref="F5">
    <cfRule type="expression" priority="2" aboveAverage="0" equalAverage="0" bottom="0" percent="0" rank="0" text="" dxfId="0">
      <formula>F5="GREEN"</formula>
    </cfRule>
    <cfRule type="expression" priority="3" aboveAverage="0" equalAverage="0" bottom="0" percent="0" rank="0" text="" dxfId="1">
      <formula>F5="AMBER"</formula>
    </cfRule>
    <cfRule type="expression" priority="4" aboveAverage="0" equalAverage="0" bottom="0" percent="0" rank="0" text="" dxfId="2">
      <formula>F5="RED"</formula>
    </cfRule>
  </conditionalFormatting>
  <conditionalFormatting sqref="F6">
    <cfRule type="expression" priority="5" aboveAverage="0" equalAverage="0" bottom="0" percent="0" rank="0" text="" dxfId="0">
      <formula>F6="GREEN"</formula>
    </cfRule>
    <cfRule type="expression" priority="6" aboveAverage="0" equalAverage="0" bottom="0" percent="0" rank="0" text="" dxfId="1">
      <formula>F6="AMBER"</formula>
    </cfRule>
    <cfRule type="expression" priority="7" aboveAverage="0" equalAverage="0" bottom="0" percent="0" rank="0" text="" dxfId="2">
      <formula>F6="RED"</formula>
    </cfRule>
  </conditionalFormatting>
  <conditionalFormatting sqref="F7">
    <cfRule type="expression" priority="8" aboveAverage="0" equalAverage="0" bottom="0" percent="0" rank="0" text="" dxfId="0">
      <formula>F7="GREEN"</formula>
    </cfRule>
    <cfRule type="expression" priority="9" aboveAverage="0" equalAverage="0" bottom="0" percent="0" rank="0" text="" dxfId="1">
      <formula>F7="AMBER"</formula>
    </cfRule>
    <cfRule type="expression" priority="10" aboveAverage="0" equalAverage="0" bottom="0" percent="0" rank="0" text="" dxfId="2">
      <formula>F7="RED"</formula>
    </cfRule>
  </conditionalFormatting>
  <conditionalFormatting sqref="F8">
    <cfRule type="expression" priority="11" aboveAverage="0" equalAverage="0" bottom="0" percent="0" rank="0" text="" dxfId="0">
      <formula>F8="GREEN"</formula>
    </cfRule>
    <cfRule type="expression" priority="12" aboveAverage="0" equalAverage="0" bottom="0" percent="0" rank="0" text="" dxfId="1">
      <formula>F8="AMBER"</formula>
    </cfRule>
    <cfRule type="expression" priority="13" aboveAverage="0" equalAverage="0" bottom="0" percent="0" rank="0" text="" dxfId="2">
      <formula>F8="RED"</formula>
    </cfRule>
  </conditionalFormatting>
  <conditionalFormatting sqref="F9">
    <cfRule type="expression" priority="14" aboveAverage="0" equalAverage="0" bottom="0" percent="0" rank="0" text="" dxfId="0">
      <formula>F9="GREEN"</formula>
    </cfRule>
    <cfRule type="expression" priority="15" aboveAverage="0" equalAverage="0" bottom="0" percent="0" rank="0" text="" dxfId="1">
      <formula>F9="AMBER"</formula>
    </cfRule>
    <cfRule type="expression" priority="16" aboveAverage="0" equalAverage="0" bottom="0" percent="0" rank="0" text="" dxfId="2">
      <formula>F9="RED"</formula>
    </cfRule>
  </conditionalFormatting>
  <conditionalFormatting sqref="F10">
    <cfRule type="expression" priority="17" aboveAverage="0" equalAverage="0" bottom="0" percent="0" rank="0" text="" dxfId="0">
      <formula>F10="GREEN"</formula>
    </cfRule>
    <cfRule type="expression" priority="18" aboveAverage="0" equalAverage="0" bottom="0" percent="0" rank="0" text="" dxfId="1">
      <formula>F10="AMBER"</formula>
    </cfRule>
    <cfRule type="expression" priority="19" aboveAverage="0" equalAverage="0" bottom="0" percent="0" rank="0" text="" dxfId="2">
      <formula>F10="RED"</formula>
    </cfRule>
  </conditionalFormatting>
  <conditionalFormatting sqref="F11">
    <cfRule type="expression" priority="20" aboveAverage="0" equalAverage="0" bottom="0" percent="0" rank="0" text="" dxfId="0">
      <formula>F11="GREEN"</formula>
    </cfRule>
    <cfRule type="expression" priority="21" aboveAverage="0" equalAverage="0" bottom="0" percent="0" rank="0" text="" dxfId="1">
      <formula>F11="AMBER"</formula>
    </cfRule>
    <cfRule type="expression" priority="22" aboveAverage="0" equalAverage="0" bottom="0" percent="0" rank="0" text="" dxfId="2">
      <formula>F11="RED"</formula>
    </cfRule>
  </conditionalFormatting>
  <conditionalFormatting sqref="F12">
    <cfRule type="expression" priority="23" aboveAverage="0" equalAverage="0" bottom="0" percent="0" rank="0" text="" dxfId="0">
      <formula>F12="GREEN"</formula>
    </cfRule>
    <cfRule type="expression" priority="24" aboveAverage="0" equalAverage="0" bottom="0" percent="0" rank="0" text="" dxfId="1">
      <formula>F12="AMBER"</formula>
    </cfRule>
    <cfRule type="expression" priority="25" aboveAverage="0" equalAverage="0" bottom="0" percent="0" rank="0" text="" dxfId="2">
      <formula>F12="RED"</formula>
    </cfRule>
  </conditionalFormatting>
  <conditionalFormatting sqref="F13">
    <cfRule type="expression" priority="26" aboveAverage="0" equalAverage="0" bottom="0" percent="0" rank="0" text="" dxfId="0">
      <formula>F13="GREEN"</formula>
    </cfRule>
    <cfRule type="expression" priority="27" aboveAverage="0" equalAverage="0" bottom="0" percent="0" rank="0" text="" dxfId="1">
      <formula>F13="AMBER"</formula>
    </cfRule>
    <cfRule type="expression" priority="28" aboveAverage="0" equalAverage="0" bottom="0" percent="0" rank="0" text="" dxfId="2">
      <formula>F13="RED"</formula>
    </cfRule>
  </conditionalFormatting>
  <conditionalFormatting sqref="F14">
    <cfRule type="expression" priority="29" aboveAverage="0" equalAverage="0" bottom="0" percent="0" rank="0" text="" dxfId="0">
      <formula>F14="GREEN"</formula>
    </cfRule>
    <cfRule type="expression" priority="30" aboveAverage="0" equalAverage="0" bottom="0" percent="0" rank="0" text="" dxfId="1">
      <formula>F14="AMBER"</formula>
    </cfRule>
    <cfRule type="expression" priority="31" aboveAverage="0" equalAverage="0" bottom="0" percent="0" rank="0" text="" dxfId="2">
      <formula>F14="RED"</formula>
    </cfRule>
  </conditionalFormatting>
  <conditionalFormatting sqref="F15">
    <cfRule type="expression" priority="32" aboveAverage="0" equalAverage="0" bottom="0" percent="0" rank="0" text="" dxfId="0">
      <formula>F15="GREEN"</formula>
    </cfRule>
    <cfRule type="expression" priority="33" aboveAverage="0" equalAverage="0" bottom="0" percent="0" rank="0" text="" dxfId="1">
      <formula>F15="AMBER"</formula>
    </cfRule>
    <cfRule type="expression" priority="34" aboveAverage="0" equalAverage="0" bottom="0" percent="0" rank="0" text="" dxfId="2">
      <formula>F15="RED"</formula>
    </cfRule>
  </conditionalFormatting>
  <conditionalFormatting sqref="F16">
    <cfRule type="expression" priority="35" aboveAverage="0" equalAverage="0" bottom="0" percent="0" rank="0" text="" dxfId="0">
      <formula>F16="GREEN"</formula>
    </cfRule>
    <cfRule type="expression" priority="36" aboveAverage="0" equalAverage="0" bottom="0" percent="0" rank="0" text="" dxfId="1">
      <formula>F16="AMBER"</formula>
    </cfRule>
    <cfRule type="expression" priority="37" aboveAverage="0" equalAverage="0" bottom="0" percent="0" rank="0" text="" dxfId="2">
      <formula>F16="RED"</formula>
    </cfRule>
  </conditionalFormatting>
  <conditionalFormatting sqref="F17">
    <cfRule type="expression" priority="38" aboveAverage="0" equalAverage="0" bottom="0" percent="0" rank="0" text="" dxfId="0">
      <formula>F17="GREEN"</formula>
    </cfRule>
    <cfRule type="expression" priority="39" aboveAverage="0" equalAverage="0" bottom="0" percent="0" rank="0" text="" dxfId="1">
      <formula>F17="AMBER"</formula>
    </cfRule>
    <cfRule type="expression" priority="40" aboveAverage="0" equalAverage="0" bottom="0" percent="0" rank="0" text="" dxfId="2">
      <formula>F17="RED"</formula>
    </cfRule>
  </conditionalFormatting>
  <conditionalFormatting sqref="F18">
    <cfRule type="expression" priority="41" aboveAverage="0" equalAverage="0" bottom="0" percent="0" rank="0" text="" dxfId="0">
      <formula>F18="GREEN"</formula>
    </cfRule>
    <cfRule type="expression" priority="42" aboveAverage="0" equalAverage="0" bottom="0" percent="0" rank="0" text="" dxfId="1">
      <formula>F18="AMBER"</formula>
    </cfRule>
    <cfRule type="expression" priority="43" aboveAverage="0" equalAverage="0" bottom="0" percent="0" rank="0" text="" dxfId="2">
      <formula>F18="RED"</formula>
    </cfRule>
  </conditionalFormatting>
  <conditionalFormatting sqref="F19">
    <cfRule type="expression" priority="44" aboveAverage="0" equalAverage="0" bottom="0" percent="0" rank="0" text="" dxfId="0">
      <formula>F19="GREEN"</formula>
    </cfRule>
    <cfRule type="expression" priority="45" aboveAverage="0" equalAverage="0" bottom="0" percent="0" rank="0" text="" dxfId="1">
      <formula>F19="AMBER"</formula>
    </cfRule>
    <cfRule type="expression" priority="46" aboveAverage="0" equalAverage="0" bottom="0" percent="0" rank="0" text="" dxfId="2">
      <formula>F19="RED"</formula>
    </cfRule>
  </conditionalFormatting>
  <conditionalFormatting sqref="F20">
    <cfRule type="expression" priority="47" aboveAverage="0" equalAverage="0" bottom="0" percent="0" rank="0" text="" dxfId="0">
      <formula>F20="GREEN"</formula>
    </cfRule>
    <cfRule type="expression" priority="48" aboveAverage="0" equalAverage="0" bottom="0" percent="0" rank="0" text="" dxfId="1">
      <formula>F20="AMBER"</formula>
    </cfRule>
    <cfRule type="expression" priority="49" aboveAverage="0" equalAverage="0" bottom="0" percent="0" rank="0" text="" dxfId="2">
      <formula>F20="RED"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4" min="3" style="1" width="32"/>
    <col collapsed="false" customWidth="true" hidden="false" outlineLevel="0" max="5" min="5" style="1" width="8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24"/>
    <col collapsed="false" customWidth="true" hidden="false" outlineLevel="0" max="9" min="9" style="1" width="8"/>
    <col collapsed="false" customWidth="true" hidden="false" outlineLevel="0" max="10" min="10" style="1" width="38"/>
    <col collapsed="false" customWidth="true" hidden="false" outlineLevel="0" max="11" min="11" style="1" width="8"/>
    <col collapsed="false" customWidth="true" hidden="false" outlineLevel="0" max="12" min="12" style="1" width="12"/>
  </cols>
  <sheetData>
    <row r="1" customFormat="false" ht="21.75" hidden="false" customHeight="true" outlineLevel="0" collapsed="false">
      <c r="A1" s="5" t="s">
        <v>193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true" outlineLevel="0" collapsed="false">
      <c r="A2" s="4" t="s">
        <v>194</v>
      </c>
    </row>
    <row r="4" customFormat="false" ht="26.25" hidden="false" customHeight="true" outlineLevel="0" collapsed="false">
      <c r="A4" s="10" t="s">
        <v>195</v>
      </c>
      <c r="B4" s="10" t="s">
        <v>196</v>
      </c>
      <c r="C4" s="10" t="s">
        <v>197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1" t="s">
        <v>205</v>
      </c>
      <c r="L4" s="11" t="s">
        <v>206</v>
      </c>
    </row>
    <row r="5" customFormat="false" ht="34.5" hidden="false" customHeight="true" outlineLevel="0" collapsed="false">
      <c r="A5" s="9" t="n">
        <v>1</v>
      </c>
      <c r="B5" s="9" t="s">
        <v>207</v>
      </c>
      <c r="C5" s="9" t="s">
        <v>208</v>
      </c>
      <c r="D5" s="9" t="s">
        <v>209</v>
      </c>
      <c r="E5" s="9" t="n">
        <v>9</v>
      </c>
      <c r="F5" s="9" t="s">
        <v>210</v>
      </c>
      <c r="G5" s="9" t="n">
        <v>6</v>
      </c>
      <c r="H5" s="9" t="s">
        <v>211</v>
      </c>
      <c r="I5" s="9" t="n">
        <v>4</v>
      </c>
      <c r="J5" s="9" t="s">
        <v>212</v>
      </c>
      <c r="K5" s="12" t="n">
        <f aca="false">E5*G5*I5</f>
        <v>216</v>
      </c>
      <c r="L5" s="12" t="str">
        <f aca="false">IF(K5&gt;=200,"CRITICAL",IF(K5&gt;=100,"PRIORITY","MONITOR"))</f>
        <v>CRITICAL</v>
      </c>
    </row>
    <row r="6" customFormat="false" ht="23.25" hidden="false" customHeight="true" outlineLevel="0" collapsed="false">
      <c r="A6" s="9" t="n">
        <v>2</v>
      </c>
      <c r="B6" s="9" t="s">
        <v>213</v>
      </c>
      <c r="C6" s="9" t="s">
        <v>214</v>
      </c>
      <c r="D6" s="9" t="s">
        <v>215</v>
      </c>
      <c r="E6" s="9" t="n">
        <v>8</v>
      </c>
      <c r="F6" s="9" t="s">
        <v>216</v>
      </c>
      <c r="G6" s="9" t="n">
        <v>5</v>
      </c>
      <c r="H6" s="9" t="s">
        <v>217</v>
      </c>
      <c r="I6" s="9" t="n">
        <v>6</v>
      </c>
      <c r="J6" s="9" t="s">
        <v>218</v>
      </c>
      <c r="K6" s="12" t="n">
        <f aca="false">E6*G6*I6</f>
        <v>240</v>
      </c>
      <c r="L6" s="12" t="str">
        <f aca="false">IF(K6&gt;=200,"CRITICAL",IF(K6&gt;=100,"PRIORITY","MONITOR"))</f>
        <v>CRITICAL</v>
      </c>
    </row>
    <row r="7" customFormat="false" ht="23.25" hidden="false" customHeight="true" outlineLevel="0" collapsed="false">
      <c r="A7" s="9" t="n">
        <v>3</v>
      </c>
      <c r="B7" s="9" t="s">
        <v>219</v>
      </c>
      <c r="C7" s="9" t="s">
        <v>220</v>
      </c>
      <c r="D7" s="9" t="s">
        <v>221</v>
      </c>
      <c r="E7" s="9" t="n">
        <v>6</v>
      </c>
      <c r="F7" s="9" t="s">
        <v>222</v>
      </c>
      <c r="G7" s="9" t="n">
        <v>7</v>
      </c>
      <c r="H7" s="9" t="s">
        <v>223</v>
      </c>
      <c r="I7" s="9" t="n">
        <v>3</v>
      </c>
      <c r="J7" s="9" t="s">
        <v>224</v>
      </c>
      <c r="K7" s="12" t="n">
        <f aca="false">E7*G7*I7</f>
        <v>126</v>
      </c>
      <c r="L7" s="12" t="str">
        <f aca="false">IF(K7&gt;=200,"CRITICAL",IF(K7&gt;=100,"PRIORITY","MONITOR"))</f>
        <v>PRIORITY</v>
      </c>
    </row>
    <row r="8" customFormat="false" ht="23.25" hidden="false" customHeight="true" outlineLevel="0" collapsed="false">
      <c r="A8" s="9" t="n">
        <v>4</v>
      </c>
      <c r="B8" s="9" t="s">
        <v>225</v>
      </c>
      <c r="C8" s="9" t="s">
        <v>226</v>
      </c>
      <c r="D8" s="9" t="s">
        <v>227</v>
      </c>
      <c r="E8" s="9" t="n">
        <v>8</v>
      </c>
      <c r="F8" s="9" t="s">
        <v>228</v>
      </c>
      <c r="G8" s="9" t="n">
        <v>4</v>
      </c>
      <c r="H8" s="9" t="s">
        <v>229</v>
      </c>
      <c r="I8" s="9" t="n">
        <v>7</v>
      </c>
      <c r="J8" s="9" t="s">
        <v>230</v>
      </c>
      <c r="K8" s="12" t="n">
        <f aca="false">E8*G8*I8</f>
        <v>224</v>
      </c>
      <c r="L8" s="12" t="str">
        <f aca="false">IF(K8&gt;=200,"CRITICAL",IF(K8&gt;=100,"PRIORITY","MONITOR"))</f>
        <v>CRITICAL</v>
      </c>
    </row>
    <row r="9" customFormat="false" ht="23.25" hidden="false" customHeight="true" outlineLevel="0" collapsed="false">
      <c r="A9" s="9" t="n">
        <v>5</v>
      </c>
      <c r="B9" s="9" t="s">
        <v>231</v>
      </c>
      <c r="C9" s="9" t="s">
        <v>232</v>
      </c>
      <c r="D9" s="9" t="s">
        <v>233</v>
      </c>
      <c r="E9" s="9" t="n">
        <v>8</v>
      </c>
      <c r="F9" s="9" t="s">
        <v>234</v>
      </c>
      <c r="G9" s="9" t="n">
        <v>5</v>
      </c>
      <c r="H9" s="9" t="s">
        <v>235</v>
      </c>
      <c r="I9" s="9" t="n">
        <v>5</v>
      </c>
      <c r="J9" s="9" t="s">
        <v>236</v>
      </c>
      <c r="K9" s="12" t="n">
        <f aca="false">E9*G9*I9</f>
        <v>200</v>
      </c>
      <c r="L9" s="12" t="str">
        <f aca="false">IF(K9&gt;=200,"CRITICAL",IF(K9&gt;=100,"PRIORITY","MONITOR"))</f>
        <v>CRITICAL</v>
      </c>
    </row>
    <row r="10" customFormat="false" ht="23.25" hidden="false" customHeight="true" outlineLevel="0" collapsed="false">
      <c r="A10" s="9" t="n">
        <v>6</v>
      </c>
      <c r="B10" s="9" t="s">
        <v>237</v>
      </c>
      <c r="C10" s="9" t="s">
        <v>238</v>
      </c>
      <c r="D10" s="9" t="s">
        <v>239</v>
      </c>
      <c r="E10" s="9" t="n">
        <v>7</v>
      </c>
      <c r="F10" s="9" t="s">
        <v>240</v>
      </c>
      <c r="G10" s="9" t="n">
        <v>7</v>
      </c>
      <c r="H10" s="9" t="s">
        <v>241</v>
      </c>
      <c r="I10" s="9" t="n">
        <v>4</v>
      </c>
      <c r="J10" s="9" t="s">
        <v>242</v>
      </c>
      <c r="K10" s="12" t="n">
        <f aca="false">E10*G10*I10</f>
        <v>196</v>
      </c>
      <c r="L10" s="12" t="str">
        <f aca="false">IF(K10&gt;=200,"CRITICAL",IF(K10&gt;=100,"PRIORITY","MONITOR"))</f>
        <v>PRIORITY</v>
      </c>
    </row>
    <row r="11" customFormat="false" ht="23.25" hidden="false" customHeight="true" outlineLevel="0" collapsed="false">
      <c r="A11" s="9" t="n">
        <v>7</v>
      </c>
      <c r="B11" s="9" t="s">
        <v>243</v>
      </c>
      <c r="C11" s="9" t="s">
        <v>244</v>
      </c>
      <c r="D11" s="9" t="s">
        <v>245</v>
      </c>
      <c r="E11" s="9" t="n">
        <v>5</v>
      </c>
      <c r="F11" s="9" t="s">
        <v>246</v>
      </c>
      <c r="G11" s="9" t="n">
        <v>6</v>
      </c>
      <c r="H11" s="9" t="s">
        <v>247</v>
      </c>
      <c r="I11" s="9" t="n">
        <v>5</v>
      </c>
      <c r="J11" s="9" t="s">
        <v>248</v>
      </c>
      <c r="K11" s="12" t="n">
        <f aca="false">E11*G11*I11</f>
        <v>150</v>
      </c>
      <c r="L11" s="12" t="str">
        <f aca="false">IF(K11&gt;=200,"CRITICAL",IF(K11&gt;=100,"PRIORITY","MONITOR"))</f>
        <v>PRIORITY</v>
      </c>
    </row>
    <row r="12" customFormat="false" ht="23.25" hidden="false" customHeight="true" outlineLevel="0" collapsed="false">
      <c r="A12" s="9" t="n">
        <v>8</v>
      </c>
      <c r="B12" s="9" t="s">
        <v>249</v>
      </c>
      <c r="C12" s="9" t="s">
        <v>250</v>
      </c>
      <c r="D12" s="9" t="s">
        <v>251</v>
      </c>
      <c r="E12" s="9" t="n">
        <v>9</v>
      </c>
      <c r="F12" s="9" t="s">
        <v>252</v>
      </c>
      <c r="G12" s="9" t="n">
        <v>6</v>
      </c>
      <c r="H12" s="9" t="s">
        <v>253</v>
      </c>
      <c r="I12" s="9" t="n">
        <v>6</v>
      </c>
      <c r="J12" s="9" t="s">
        <v>254</v>
      </c>
      <c r="K12" s="12" t="n">
        <f aca="false">E12*G12*I12</f>
        <v>324</v>
      </c>
      <c r="L12" s="12" t="str">
        <f aca="false">IF(K12&gt;=200,"CRITICAL",IF(K12&gt;=100,"PRIORITY","MONITOR"))</f>
        <v>CRITICAL</v>
      </c>
    </row>
    <row r="13" customFormat="false" ht="23.25" hidden="false" customHeight="true" outlineLevel="0" collapsed="false">
      <c r="A13" s="9" t="n">
        <v>9</v>
      </c>
      <c r="B13" s="9" t="s">
        <v>255</v>
      </c>
      <c r="C13" s="9" t="s">
        <v>256</v>
      </c>
      <c r="D13" s="9" t="s">
        <v>257</v>
      </c>
      <c r="E13" s="9" t="n">
        <v>5</v>
      </c>
      <c r="F13" s="9" t="s">
        <v>258</v>
      </c>
      <c r="G13" s="9" t="n">
        <v>6</v>
      </c>
      <c r="H13" s="9" t="s">
        <v>259</v>
      </c>
      <c r="I13" s="9" t="n">
        <v>5</v>
      </c>
      <c r="J13" s="9" t="s">
        <v>260</v>
      </c>
      <c r="K13" s="12" t="n">
        <f aca="false">E13*G13*I13</f>
        <v>150</v>
      </c>
      <c r="L13" s="12" t="str">
        <f aca="false">IF(K13&gt;=200,"CRITICAL",IF(K13&gt;=100,"PRIORITY","MONITOR"))</f>
        <v>PRIORITY</v>
      </c>
    </row>
    <row r="14" customFormat="false" ht="23.25" hidden="false" customHeight="true" outlineLevel="0" collapsed="false">
      <c r="A14" s="9" t="n">
        <v>10</v>
      </c>
      <c r="B14" s="9" t="s">
        <v>261</v>
      </c>
      <c r="C14" s="9" t="s">
        <v>262</v>
      </c>
      <c r="D14" s="9" t="s">
        <v>263</v>
      </c>
      <c r="E14" s="9" t="n">
        <v>6</v>
      </c>
      <c r="F14" s="9" t="s">
        <v>264</v>
      </c>
      <c r="G14" s="9" t="n">
        <v>3</v>
      </c>
      <c r="H14" s="9" t="s">
        <v>265</v>
      </c>
      <c r="I14" s="9" t="n">
        <v>5</v>
      </c>
      <c r="J14" s="9" t="s">
        <v>266</v>
      </c>
      <c r="K14" s="12" t="n">
        <f aca="false">E14*G14*I14</f>
        <v>90</v>
      </c>
      <c r="L14" s="12" t="str">
        <f aca="false">IF(K14&gt;=200,"CRITICAL",IF(K14&gt;=100,"PRIORITY","MONITOR"))</f>
        <v>MONITOR</v>
      </c>
    </row>
    <row r="15" customFormat="false" ht="23.25" hidden="false" customHeight="true" outlineLevel="0" collapsed="false">
      <c r="A15" s="9" t="n">
        <v>11</v>
      </c>
      <c r="B15" s="9" t="s">
        <v>267</v>
      </c>
      <c r="C15" s="9" t="s">
        <v>268</v>
      </c>
      <c r="D15" s="9" t="s">
        <v>269</v>
      </c>
      <c r="E15" s="9" t="n">
        <v>8</v>
      </c>
      <c r="F15" s="9" t="s">
        <v>270</v>
      </c>
      <c r="G15" s="9" t="n">
        <v>3</v>
      </c>
      <c r="H15" s="9" t="s">
        <v>271</v>
      </c>
      <c r="I15" s="9" t="n">
        <v>6</v>
      </c>
      <c r="J15" s="9" t="s">
        <v>272</v>
      </c>
      <c r="K15" s="12" t="n">
        <f aca="false">E15*G15*I15</f>
        <v>144</v>
      </c>
      <c r="L15" s="12" t="str">
        <f aca="false">IF(K15&gt;=200,"CRITICAL",IF(K15&gt;=100,"PRIORITY","MONITOR"))</f>
        <v>PRIORITY</v>
      </c>
    </row>
    <row r="16" customFormat="false" ht="23.25" hidden="false" customHeight="true" outlineLevel="0" collapsed="false">
      <c r="A16" s="9" t="n">
        <v>12</v>
      </c>
      <c r="B16" s="9" t="s">
        <v>273</v>
      </c>
      <c r="C16" s="9" t="s">
        <v>274</v>
      </c>
      <c r="D16" s="9" t="s">
        <v>275</v>
      </c>
      <c r="E16" s="9" t="n">
        <v>7</v>
      </c>
      <c r="F16" s="9" t="s">
        <v>276</v>
      </c>
      <c r="G16" s="9" t="n">
        <v>4</v>
      </c>
      <c r="H16" s="9" t="s">
        <v>277</v>
      </c>
      <c r="I16" s="9" t="n">
        <v>5</v>
      </c>
      <c r="J16" s="9" t="s">
        <v>278</v>
      </c>
      <c r="K16" s="12" t="n">
        <f aca="false">E16*G16*I16</f>
        <v>140</v>
      </c>
      <c r="L16" s="12" t="str">
        <f aca="false">IF(K16&gt;=200,"CRITICAL",IF(K16&gt;=100,"PRIORITY","MONITOR"))</f>
        <v>PRIORITY</v>
      </c>
    </row>
    <row r="17" customFormat="false" ht="23.25" hidden="false" customHeight="true" outlineLevel="0" collapsed="false">
      <c r="A17" s="9" t="n">
        <v>13</v>
      </c>
      <c r="B17" s="9" t="s">
        <v>279</v>
      </c>
      <c r="C17" s="9" t="s">
        <v>280</v>
      </c>
      <c r="D17" s="9" t="s">
        <v>281</v>
      </c>
      <c r="E17" s="9" t="n">
        <v>4</v>
      </c>
      <c r="F17" s="9" t="s">
        <v>282</v>
      </c>
      <c r="G17" s="9" t="n">
        <v>6</v>
      </c>
      <c r="H17" s="9" t="s">
        <v>283</v>
      </c>
      <c r="I17" s="9" t="n">
        <v>4</v>
      </c>
      <c r="J17" s="9" t="s">
        <v>284</v>
      </c>
      <c r="K17" s="12" t="n">
        <f aca="false">E17*G17*I17</f>
        <v>96</v>
      </c>
      <c r="L17" s="12" t="str">
        <f aca="false">IF(K17&gt;=200,"CRITICAL",IF(K17&gt;=100,"PRIORITY","MONITOR"))</f>
        <v>MONITOR</v>
      </c>
    </row>
    <row r="18" customFormat="false" ht="23.25" hidden="false" customHeight="true" outlineLevel="0" collapsed="false">
      <c r="A18" s="9" t="n">
        <v>14</v>
      </c>
      <c r="B18" s="9" t="s">
        <v>285</v>
      </c>
      <c r="C18" s="9" t="s">
        <v>286</v>
      </c>
      <c r="D18" s="9" t="s">
        <v>287</v>
      </c>
      <c r="E18" s="9" t="n">
        <v>5</v>
      </c>
      <c r="F18" s="9" t="s">
        <v>288</v>
      </c>
      <c r="G18" s="9" t="n">
        <v>6</v>
      </c>
      <c r="H18" s="9" t="s">
        <v>289</v>
      </c>
      <c r="I18" s="9" t="n">
        <v>5</v>
      </c>
      <c r="J18" s="9" t="s">
        <v>290</v>
      </c>
      <c r="K18" s="12" t="n">
        <f aca="false">E18*G18*I18</f>
        <v>150</v>
      </c>
      <c r="L18" s="12" t="str">
        <f aca="false">IF(K18&gt;=200,"CRITICAL",IF(K18&gt;=100,"PRIORITY","MONITOR"))</f>
        <v>PRIORITY</v>
      </c>
    </row>
    <row r="19" customFormat="false" ht="23.25" hidden="false" customHeight="true" outlineLevel="0" collapsed="false">
      <c r="A19" s="9" t="n">
        <v>15</v>
      </c>
      <c r="B19" s="9" t="s">
        <v>291</v>
      </c>
      <c r="C19" s="9" t="s">
        <v>292</v>
      </c>
      <c r="D19" s="9" t="s">
        <v>293</v>
      </c>
      <c r="E19" s="9" t="n">
        <v>6</v>
      </c>
      <c r="F19" s="9" t="s">
        <v>294</v>
      </c>
      <c r="G19" s="9" t="n">
        <v>4</v>
      </c>
      <c r="H19" s="9" t="s">
        <v>295</v>
      </c>
      <c r="I19" s="9" t="n">
        <v>3</v>
      </c>
      <c r="J19" s="9" t="s">
        <v>296</v>
      </c>
      <c r="K19" s="12" t="n">
        <f aca="false">E19*G19*I19</f>
        <v>72</v>
      </c>
      <c r="L19" s="12" t="str">
        <f aca="false">IF(K19&gt;=200,"CRITICAL",IF(K19&gt;=100,"PRIORITY","MONITOR"))</f>
        <v>MONITOR</v>
      </c>
    </row>
    <row r="20" customFormat="false" ht="23.25" hidden="false" customHeight="true" outlineLevel="0" collapsed="false">
      <c r="A20" s="9" t="n">
        <v>16</v>
      </c>
      <c r="B20" s="9" t="s">
        <v>297</v>
      </c>
      <c r="C20" s="9" t="s">
        <v>298</v>
      </c>
      <c r="D20" s="9" t="s">
        <v>299</v>
      </c>
      <c r="E20" s="9" t="n">
        <v>6</v>
      </c>
      <c r="F20" s="9" t="s">
        <v>300</v>
      </c>
      <c r="G20" s="9" t="n">
        <v>3</v>
      </c>
      <c r="H20" s="9" t="s">
        <v>301</v>
      </c>
      <c r="I20" s="9" t="n">
        <v>4</v>
      </c>
      <c r="J20" s="9" t="s">
        <v>302</v>
      </c>
      <c r="K20" s="12" t="n">
        <f aca="false">E20*G20*I20</f>
        <v>72</v>
      </c>
      <c r="L20" s="12" t="str">
        <f aca="false">IF(K20&gt;=200,"CRITICAL",IF(K20&gt;=100,"PRIORITY","MONITOR"))</f>
        <v>MONITOR</v>
      </c>
    </row>
  </sheetData>
  <mergeCells count="1">
    <mergeCell ref="A1:J1"/>
  </mergeCells>
  <conditionalFormatting sqref="L5:L20">
    <cfRule type="expression" priority="2" aboveAverage="0" equalAverage="0" bottom="0" percent="0" rank="0" text="" dxfId="2">
      <formula>L5="CRITICAL"</formula>
    </cfRule>
    <cfRule type="expression" priority="3" aboveAverage="0" equalAverage="0" bottom="0" percent="0" rank="0" text="" dxfId="1">
      <formula>L5="PRIORITY"</formula>
    </cfRule>
    <cfRule type="expression" priority="4" aboveAverage="0" equalAverage="0" bottom="0" percent="0" rank="0" text="" dxfId="0">
      <formula>L5="MONITOR"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  <col collapsed="false" customWidth="true" hidden="false" outlineLevel="0" max="4" min="4" style="1" width="42"/>
  </cols>
  <sheetData>
    <row r="1" customFormat="false" ht="21.75" hidden="false" customHeight="true" outlineLevel="0" collapsed="false">
      <c r="A1" s="5" t="s">
        <v>303</v>
      </c>
      <c r="B1" s="5"/>
      <c r="C1" s="5"/>
      <c r="D1" s="5"/>
    </row>
    <row r="2" customFormat="false" ht="15" hidden="false" customHeight="true" outlineLevel="0" collapsed="false">
      <c r="A2" s="4" t="s">
        <v>304</v>
      </c>
    </row>
    <row r="4" customFormat="false" ht="15" hidden="false" customHeight="true" outlineLevel="0" collapsed="false">
      <c r="A4" s="9" t="s">
        <v>305</v>
      </c>
      <c r="B4" s="9"/>
      <c r="C4" s="9"/>
      <c r="D4" s="9" t="s">
        <v>45</v>
      </c>
    </row>
    <row r="5" customFormat="false" ht="15" hidden="false" customHeight="true" outlineLevel="0" collapsed="false">
      <c r="A5" s="9" t="s">
        <v>306</v>
      </c>
      <c r="B5" s="13" t="n">
        <v>500</v>
      </c>
      <c r="C5" s="9"/>
      <c r="D5" s="9" t="s">
        <v>48</v>
      </c>
    </row>
    <row r="6" customFormat="false" ht="15" hidden="false" customHeight="true" outlineLevel="0" collapsed="false">
      <c r="A6" s="9" t="s">
        <v>307</v>
      </c>
      <c r="B6" s="13" t="n">
        <v>3000</v>
      </c>
      <c r="C6" s="9"/>
      <c r="D6" s="9" t="s">
        <v>308</v>
      </c>
    </row>
    <row r="7" customFormat="false" ht="15" hidden="false" customHeight="true" outlineLevel="0" collapsed="false">
      <c r="A7" s="9" t="s">
        <v>309</v>
      </c>
      <c r="B7" s="13" t="n">
        <v>100</v>
      </c>
      <c r="C7" s="9"/>
      <c r="D7" s="9" t="s">
        <v>310</v>
      </c>
    </row>
    <row r="8" customFormat="false" ht="15" hidden="false" customHeight="true" outlineLevel="0" collapsed="false">
      <c r="A8" s="9" t="s">
        <v>311</v>
      </c>
      <c r="B8" s="13" t="n">
        <v>1.5</v>
      </c>
      <c r="C8" s="9"/>
      <c r="D8" s="9" t="s">
        <v>312</v>
      </c>
    </row>
    <row r="9" customFormat="false" ht="15" hidden="false" customHeight="true" outlineLevel="0" collapsed="false">
      <c r="A9" s="9" t="s">
        <v>313</v>
      </c>
      <c r="B9" s="13" t="n">
        <v>8</v>
      </c>
      <c r="C9" s="9"/>
      <c r="D9" s="9" t="s">
        <v>314</v>
      </c>
    </row>
    <row r="10" customFormat="false" ht="15" hidden="false" customHeight="true" outlineLevel="0" collapsed="false">
      <c r="A10" s="9" t="s">
        <v>315</v>
      </c>
      <c r="B10" s="13" t="n">
        <v>1</v>
      </c>
      <c r="C10" s="9"/>
      <c r="D10" s="9" t="s">
        <v>316</v>
      </c>
    </row>
    <row r="11" customFormat="false" ht="15" hidden="false" customHeight="true" outlineLevel="0" collapsed="false">
      <c r="A11" s="9" t="s">
        <v>317</v>
      </c>
      <c r="B11" s="13" t="n">
        <v>35</v>
      </c>
      <c r="C11" s="9"/>
      <c r="D11" s="9" t="s">
        <v>318</v>
      </c>
    </row>
    <row r="12" customFormat="false" ht="15" hidden="false" customHeight="true" outlineLevel="0" collapsed="false">
      <c r="A12" s="9" t="s">
        <v>319</v>
      </c>
      <c r="B12" s="13" t="n">
        <v>80</v>
      </c>
      <c r="C12" s="9"/>
      <c r="D12" s="9" t="s">
        <v>320</v>
      </c>
    </row>
    <row r="13" customFormat="false" ht="15" hidden="false" customHeight="true" outlineLevel="0" collapsed="false">
      <c r="A13" s="9" t="s">
        <v>321</v>
      </c>
      <c r="B13" s="13" t="n">
        <v>50</v>
      </c>
      <c r="C13" s="9"/>
      <c r="D13" s="9" t="s">
        <v>322</v>
      </c>
    </row>
    <row r="14" customFormat="false" ht="23.25" hidden="false" customHeight="true" outlineLevel="0" collapsed="false">
      <c r="A14" s="9" t="s">
        <v>323</v>
      </c>
      <c r="B14" s="13" t="n">
        <v>6</v>
      </c>
      <c r="C14" s="9"/>
      <c r="D14" s="9" t="s">
        <v>324</v>
      </c>
    </row>
    <row r="15" customFormat="false" ht="15" hidden="false" customHeight="true" outlineLevel="0" collapsed="false">
      <c r="A15" s="9" t="s">
        <v>325</v>
      </c>
      <c r="B15" s="13" t="n">
        <v>15</v>
      </c>
      <c r="C15" s="9"/>
      <c r="D15" s="9" t="s">
        <v>326</v>
      </c>
    </row>
    <row r="16" customFormat="false" ht="15" hidden="false" customHeight="true" outlineLevel="0" collapsed="false">
      <c r="A16" s="9" t="s">
        <v>327</v>
      </c>
      <c r="B16" s="13" t="n">
        <v>0</v>
      </c>
      <c r="C16" s="9"/>
      <c r="D16" s="9" t="s">
        <v>328</v>
      </c>
    </row>
    <row r="18" customFormat="false" ht="15" hidden="false" customHeight="true" outlineLevel="0" collapsed="false">
      <c r="A18" s="14" t="s">
        <v>329</v>
      </c>
      <c r="B18" s="14" t="s">
        <v>330</v>
      </c>
      <c r="C18" s="14" t="s">
        <v>331</v>
      </c>
      <c r="D18" s="14" t="s">
        <v>332</v>
      </c>
    </row>
    <row r="19" customFormat="false" ht="15" hidden="false" customHeight="true" outlineLevel="0" collapsed="false">
      <c r="A19" s="9" t="s">
        <v>333</v>
      </c>
      <c r="B19" s="15" t="n">
        <f aca="false">B7*B8*B9</f>
        <v>1200</v>
      </c>
      <c r="C19" s="15" t="n">
        <f aca="false">B7*B8*B10</f>
        <v>150</v>
      </c>
      <c r="D19" s="15" t="n">
        <f aca="false">B19-C19</f>
        <v>1050</v>
      </c>
    </row>
    <row r="20" customFormat="false" ht="15" hidden="false" customHeight="true" outlineLevel="0" collapsed="false">
      <c r="A20" s="9" t="s">
        <v>334</v>
      </c>
      <c r="B20" s="15" t="n">
        <f aca="false">B11/60*22</f>
        <v>12.8333333333333</v>
      </c>
      <c r="C20" s="13" t="n">
        <v>0</v>
      </c>
      <c r="D20" s="15" t="n">
        <f aca="false">B20-C20</f>
        <v>12.8333333333333</v>
      </c>
    </row>
    <row r="21" customFormat="false" ht="15" hidden="false" customHeight="true" outlineLevel="0" collapsed="false">
      <c r="A21" s="9" t="s">
        <v>335</v>
      </c>
      <c r="B21" s="15" t="n">
        <f aca="false">B20*B12</f>
        <v>1026.66666666667</v>
      </c>
      <c r="C21" s="15" t="n">
        <f aca="false">C20*B12</f>
        <v>0</v>
      </c>
      <c r="D21" s="15" t="n">
        <f aca="false">B21-C21</f>
        <v>1026.66666666667</v>
      </c>
    </row>
    <row r="22" customFormat="false" ht="15" hidden="false" customHeight="true" outlineLevel="0" collapsed="false">
      <c r="A22" s="9" t="s">
        <v>336</v>
      </c>
      <c r="B22" s="15" t="n">
        <f aca="false">B14*B15/60*22</f>
        <v>33</v>
      </c>
      <c r="C22" s="15" t="n">
        <f aca="false">B14*B15/60*22*0.3</f>
        <v>9.9</v>
      </c>
      <c r="D22" s="15" t="n">
        <f aca="false">B22-C22</f>
        <v>23.1</v>
      </c>
    </row>
    <row r="23" customFormat="false" ht="15" hidden="false" customHeight="true" outlineLevel="0" collapsed="false">
      <c r="A23" s="9" t="s">
        <v>337</v>
      </c>
      <c r="B23" s="15" t="n">
        <f aca="false">B22*B13</f>
        <v>1650</v>
      </c>
      <c r="C23" s="15" t="n">
        <f aca="false">C22*B13</f>
        <v>495</v>
      </c>
      <c r="D23" s="15" t="n">
        <f aca="false">B23-C23</f>
        <v>1155</v>
      </c>
    </row>
    <row r="24" customFormat="false" ht="15" hidden="false" customHeight="false" outlineLevel="0" collapsed="false">
      <c r="A24" s="9"/>
      <c r="B24" s="9"/>
      <c r="C24" s="9"/>
      <c r="D24" s="9"/>
    </row>
    <row r="25" customFormat="false" ht="15" hidden="false" customHeight="true" outlineLevel="0" collapsed="false">
      <c r="A25" s="16" t="s">
        <v>338</v>
      </c>
      <c r="B25" s="9"/>
      <c r="C25" s="9"/>
      <c r="D25" s="16" t="n">
        <f aca="false">D19+D21+D23</f>
        <v>3231.66666666667</v>
      </c>
    </row>
    <row r="26" customFormat="false" ht="15" hidden="false" customHeight="false" outlineLevel="0" collapsed="false">
      <c r="A26" s="16" t="s">
        <v>339</v>
      </c>
      <c r="B26" s="9"/>
      <c r="C26" s="9"/>
      <c r="D26" s="16" t="n">
        <f aca="false">D25*12</f>
        <v>38780</v>
      </c>
    </row>
    <row r="27" customFormat="false" ht="15" hidden="false" customHeight="true" outlineLevel="0" collapsed="false">
      <c r="A27" s="9"/>
      <c r="B27" s="9"/>
      <c r="C27" s="9"/>
      <c r="D27" s="9"/>
    </row>
    <row r="28" customFormat="false" ht="23.25" hidden="false" customHeight="true" outlineLevel="0" collapsed="false">
      <c r="A28" s="17" t="s">
        <v>340</v>
      </c>
      <c r="B28" s="17" t="s">
        <v>341</v>
      </c>
      <c r="C28" s="17" t="s">
        <v>45</v>
      </c>
      <c r="D28" s="9"/>
    </row>
    <row r="29" customFormat="false" ht="23.25" hidden="false" customHeight="true" outlineLevel="0" collapsed="false">
      <c r="A29" s="9" t="s">
        <v>342</v>
      </c>
      <c r="B29" s="13" t="n">
        <v>0</v>
      </c>
      <c r="C29" s="9" t="s">
        <v>343</v>
      </c>
      <c r="D29" s="9"/>
    </row>
    <row r="30" customFormat="false" ht="15" hidden="false" customHeight="true" outlineLevel="0" collapsed="false">
      <c r="A30" s="9" t="s">
        <v>344</v>
      </c>
      <c r="B30" s="13" t="n">
        <v>5000</v>
      </c>
      <c r="C30" s="9" t="s">
        <v>345</v>
      </c>
      <c r="D30" s="9"/>
    </row>
    <row r="31" customFormat="false" ht="15" hidden="false" customHeight="true" outlineLevel="0" collapsed="false">
      <c r="A31" s="9" t="s">
        <v>346</v>
      </c>
      <c r="B31" s="13" t="n">
        <v>1500</v>
      </c>
      <c r="C31" s="9" t="s">
        <v>347</v>
      </c>
      <c r="D31" s="9"/>
    </row>
    <row r="32" customFormat="false" ht="15" hidden="false" customHeight="true" outlineLevel="0" collapsed="false">
      <c r="A32" s="9" t="s">
        <v>348</v>
      </c>
      <c r="B32" s="13" t="n">
        <v>500</v>
      </c>
      <c r="C32" s="9" t="s">
        <v>349</v>
      </c>
      <c r="D32" s="9"/>
    </row>
    <row r="33" customFormat="false" ht="15" hidden="false" customHeight="true" outlineLevel="0" collapsed="false">
      <c r="A33" s="9" t="s">
        <v>350</v>
      </c>
      <c r="B33" s="13" t="n">
        <v>0</v>
      </c>
      <c r="C33" s="9" t="s">
        <v>351</v>
      </c>
      <c r="D33" s="9"/>
    </row>
    <row r="34" customFormat="false" ht="15" hidden="false" customHeight="false" outlineLevel="0" collapsed="false">
      <c r="A34" s="16" t="s">
        <v>352</v>
      </c>
      <c r="B34" s="16" t="n">
        <f aca="false">SUM(B29:B33)</f>
        <v>7000</v>
      </c>
      <c r="C34" s="9"/>
      <c r="D34" s="9"/>
    </row>
    <row r="35" customFormat="false" ht="15" hidden="false" customHeight="true" outlineLevel="0" collapsed="false">
      <c r="A35" s="9"/>
      <c r="B35" s="9"/>
      <c r="C35" s="9"/>
      <c r="D35" s="9"/>
    </row>
    <row r="36" customFormat="false" ht="15" hidden="false" customHeight="true" outlineLevel="0" collapsed="false">
      <c r="A36" s="16" t="s">
        <v>353</v>
      </c>
      <c r="B36" s="16" t="n">
        <f aca="false">IFERROR(B34/D25, 0)</f>
        <v>2.16606498194946</v>
      </c>
      <c r="C36" s="9" t="s">
        <v>354</v>
      </c>
      <c r="D36" s="9"/>
    </row>
    <row r="37" customFormat="false" ht="15" hidden="false" customHeight="false" outlineLevel="0" collapsed="false">
      <c r="A37" s="18"/>
      <c r="B37" s="18"/>
      <c r="C37" s="18"/>
      <c r="D37" s="18"/>
    </row>
    <row r="38" customFormat="false" ht="15" hidden="false" customHeight="false" outlineLevel="0" collapsed="false">
      <c r="A38" s="18"/>
      <c r="B38" s="18"/>
      <c r="C38" s="18"/>
      <c r="D38" s="18"/>
    </row>
    <row r="39" customFormat="false" ht="15" hidden="false" customHeight="false" outlineLevel="0" collapsed="false">
      <c r="A39" s="18"/>
      <c r="B39" s="18"/>
      <c r="C39" s="18"/>
      <c r="D39" s="1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55"/>
  </cols>
  <sheetData>
    <row r="1" customFormat="false" ht="21.75" hidden="false" customHeight="true" outlineLevel="0" collapsed="false">
      <c r="A1" s="5" t="s">
        <v>355</v>
      </c>
      <c r="B1" s="5"/>
      <c r="C1" s="5"/>
    </row>
    <row r="2" customFormat="false" ht="15" hidden="false" customHeight="true" outlineLevel="0" collapsed="false">
      <c r="A2" s="4" t="s">
        <v>356</v>
      </c>
    </row>
    <row r="4" customFormat="false" ht="15" hidden="false" customHeight="true" outlineLevel="0" collapsed="false">
      <c r="A4" s="9" t="s">
        <v>357</v>
      </c>
      <c r="B4" s="9" t="s">
        <v>358</v>
      </c>
      <c r="C4" s="9" t="s">
        <v>45</v>
      </c>
    </row>
    <row r="5" customFormat="false" ht="15" hidden="false" customHeight="true" outlineLevel="0" collapsed="false">
      <c r="A5" s="9" t="s">
        <v>359</v>
      </c>
      <c r="B5" s="13" t="n">
        <v>30</v>
      </c>
      <c r="C5" s="9" t="s">
        <v>360</v>
      </c>
    </row>
    <row r="6" customFormat="false" ht="15" hidden="false" customHeight="true" outlineLevel="0" collapsed="false">
      <c r="A6" s="9" t="s">
        <v>361</v>
      </c>
      <c r="B6" s="13" t="n">
        <v>9</v>
      </c>
      <c r="C6" s="9" t="s">
        <v>362</v>
      </c>
    </row>
    <row r="7" customFormat="false" ht="15" hidden="false" customHeight="true" outlineLevel="0" collapsed="false">
      <c r="A7" s="9" t="s">
        <v>363</v>
      </c>
      <c r="B7" s="9" t="n">
        <f aca="false">B5/B6</f>
        <v>3.33333333333333</v>
      </c>
      <c r="C7" s="9"/>
    </row>
    <row r="9" customFormat="false" ht="15" hidden="false" customHeight="true" outlineLevel="0" collapsed="false">
      <c r="A9" s="9" t="s">
        <v>364</v>
      </c>
      <c r="B9" s="9"/>
      <c r="C9" s="9"/>
    </row>
    <row r="10" customFormat="false" ht="15" hidden="false" customHeight="true" outlineLevel="0" collapsed="false">
      <c r="A10" s="9" t="s">
        <v>365</v>
      </c>
      <c r="B10" s="13" t="n">
        <v>12</v>
      </c>
      <c r="C10" s="9" t="s">
        <v>366</v>
      </c>
    </row>
    <row r="11" customFormat="false" ht="15" hidden="false" customHeight="true" outlineLevel="0" collapsed="false">
      <c r="A11" s="9" t="s">
        <v>367</v>
      </c>
      <c r="B11" s="9" t="n">
        <f aca="false">60/B10</f>
        <v>5</v>
      </c>
      <c r="C11" s="9"/>
    </row>
    <row r="13" customFormat="false" ht="15" hidden="false" customHeight="true" outlineLevel="0" collapsed="false">
      <c r="A13" s="9" t="s">
        <v>368</v>
      </c>
      <c r="B13" s="9"/>
      <c r="C13" s="9"/>
    </row>
    <row r="14" customFormat="false" ht="15" hidden="false" customHeight="true" outlineLevel="0" collapsed="false">
      <c r="A14" s="9" t="s">
        <v>369</v>
      </c>
      <c r="B14" s="9" t="n">
        <f aca="false">B7/B11</f>
        <v>0.666666666666667</v>
      </c>
      <c r="C14" s="9" t="s">
        <v>370</v>
      </c>
    </row>
    <row r="15" customFormat="false" ht="15" hidden="false" customHeight="true" outlineLevel="0" collapsed="false">
      <c r="A15" s="9" t="s">
        <v>371</v>
      </c>
      <c r="B15" s="9" t="n">
        <f aca="false">B14/(1-B14)</f>
        <v>2</v>
      </c>
      <c r="C15" s="9" t="s">
        <v>372</v>
      </c>
    </row>
    <row r="16" customFormat="false" ht="15" hidden="false" customHeight="true" outlineLevel="0" collapsed="false">
      <c r="A16" s="9" t="s">
        <v>373</v>
      </c>
      <c r="B16" s="9" t="n">
        <f aca="false">B15/B7*60</f>
        <v>36</v>
      </c>
      <c r="C16" s="9" t="s">
        <v>374</v>
      </c>
    </row>
    <row r="17" customFormat="false" ht="15" hidden="false" customHeight="true" outlineLevel="0" collapsed="false">
      <c r="A17" s="9" t="s">
        <v>375</v>
      </c>
      <c r="B17" s="9" t="n">
        <f aca="false">B16-B10</f>
        <v>24</v>
      </c>
      <c r="C17" s="9"/>
    </row>
    <row r="18" customFormat="false" ht="15" hidden="false" customHeight="true" outlineLevel="0" collapsed="false">
      <c r="A18" s="9" t="s">
        <v>376</v>
      </c>
      <c r="B18" s="9" t="str">
        <f aca="false">IF(B14&lt;1,"STABLE","UNSTABLE")</f>
        <v>STABLE</v>
      </c>
      <c r="C18" s="9"/>
    </row>
    <row r="19" customFormat="false" ht="15" hidden="false" customHeight="true" outlineLevel="0" collapsed="false">
      <c r="A19" s="9" t="s">
        <v>377</v>
      </c>
      <c r="B19" s="9" t="n">
        <f aca="false">0.85*B11*B6</f>
        <v>38.25</v>
      </c>
      <c r="C19" s="9"/>
    </row>
    <row r="21" customFormat="false" ht="15" hidden="false" customHeight="true" outlineLevel="0" collapsed="false">
      <c r="A21" s="9" t="s">
        <v>378</v>
      </c>
      <c r="B21" s="9"/>
      <c r="C21" s="9"/>
    </row>
    <row r="22" customFormat="false" ht="15" hidden="false" customHeight="true" outlineLevel="0" collapsed="false">
      <c r="A22" s="9" t="s">
        <v>379</v>
      </c>
      <c r="B22" s="9" t="str">
        <f aca="false">IF(B14&gt;0.85,"YES — bring backup-SC online","NO")</f>
        <v>NO</v>
      </c>
      <c r="C22" s="9"/>
    </row>
    <row r="23" customFormat="false" ht="15" hidden="false" customHeight="true" outlineLevel="0" collapsed="false">
      <c r="A23" s="9" t="s">
        <v>380</v>
      </c>
      <c r="B23" s="9" t="n">
        <f aca="false">B19</f>
        <v>38.25</v>
      </c>
      <c r="C23" s="9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0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28"/>
    <col collapsed="false" customWidth="true" hidden="false" outlineLevel="0" max="7" min="7" style="1" width="32"/>
    <col collapsed="false" customWidth="true" hidden="false" outlineLevel="0" max="8" min="8" style="1" width="28"/>
    <col collapsed="false" customWidth="true" hidden="false" outlineLevel="0" max="10" min="9" style="1" width="8"/>
  </cols>
  <sheetData>
    <row r="1" customFormat="false" ht="21.75" hidden="false" customHeight="true" outlineLevel="0" collapsed="false">
      <c r="A1" s="5" t="s">
        <v>381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4" t="s">
        <v>382</v>
      </c>
    </row>
    <row r="4" customFormat="false" ht="51.75" hidden="false" customHeight="true" outlineLevel="0" collapsed="false">
      <c r="A4" s="10" t="s">
        <v>195</v>
      </c>
      <c r="B4" s="10" t="s">
        <v>383</v>
      </c>
      <c r="C4" s="10" t="s">
        <v>384</v>
      </c>
      <c r="D4" s="10" t="s">
        <v>385</v>
      </c>
      <c r="E4" s="10" t="s">
        <v>386</v>
      </c>
      <c r="F4" s="10" t="s">
        <v>152</v>
      </c>
      <c r="G4" s="10" t="s">
        <v>387</v>
      </c>
      <c r="H4" s="10" t="s">
        <v>388</v>
      </c>
      <c r="I4" s="19" t="s">
        <v>389</v>
      </c>
      <c r="J4" s="19" t="s">
        <v>390</v>
      </c>
    </row>
    <row r="5" customFormat="false" ht="23.25" hidden="false" customHeight="true" outlineLevel="0" collapsed="false">
      <c r="A5" s="9" t="s">
        <v>391</v>
      </c>
      <c r="B5" s="9" t="s">
        <v>392</v>
      </c>
      <c r="C5" s="9" t="n">
        <v>5</v>
      </c>
      <c r="D5" s="9" t="n">
        <v>4</v>
      </c>
      <c r="E5" s="9" t="n">
        <v>1</v>
      </c>
      <c r="F5" s="9" t="s">
        <v>393</v>
      </c>
      <c r="G5" s="9" t="s">
        <v>394</v>
      </c>
      <c r="H5" s="9" t="s">
        <v>395</v>
      </c>
      <c r="I5" s="12" t="n">
        <f aca="false">C5*D5*(6-E5)</f>
        <v>100</v>
      </c>
      <c r="J5" s="12" t="n">
        <f aca="false">RANK(I5,$I$5:$I$20)</f>
        <v>1</v>
      </c>
    </row>
    <row r="6" customFormat="false" ht="23.25" hidden="false" customHeight="true" outlineLevel="0" collapsed="false">
      <c r="A6" s="9" t="s">
        <v>396</v>
      </c>
      <c r="B6" s="9" t="s">
        <v>397</v>
      </c>
      <c r="C6" s="9" t="n">
        <v>4</v>
      </c>
      <c r="D6" s="9" t="n">
        <v>4</v>
      </c>
      <c r="E6" s="9" t="n">
        <v>2</v>
      </c>
      <c r="F6" s="9" t="s">
        <v>398</v>
      </c>
      <c r="G6" s="9" t="s">
        <v>399</v>
      </c>
      <c r="H6" s="9" t="s">
        <v>400</v>
      </c>
      <c r="I6" s="12" t="n">
        <f aca="false">C6*D6*(6-E6)</f>
        <v>64</v>
      </c>
      <c r="J6" s="12" t="n">
        <f aca="false">RANK(I6,$I$5:$I$20)</f>
        <v>10</v>
      </c>
    </row>
    <row r="7" customFormat="false" ht="23.25" hidden="false" customHeight="true" outlineLevel="0" collapsed="false">
      <c r="A7" s="9" t="s">
        <v>401</v>
      </c>
      <c r="B7" s="9" t="s">
        <v>402</v>
      </c>
      <c r="C7" s="9" t="n">
        <v>5</v>
      </c>
      <c r="D7" s="9" t="n">
        <v>5</v>
      </c>
      <c r="E7" s="9" t="n">
        <v>2</v>
      </c>
      <c r="F7" s="9" t="s">
        <v>403</v>
      </c>
      <c r="G7" s="9" t="s">
        <v>404</v>
      </c>
      <c r="H7" s="9" t="s">
        <v>405</v>
      </c>
      <c r="I7" s="12" t="n">
        <f aca="false">C7*D7*(6-E7)</f>
        <v>100</v>
      </c>
      <c r="J7" s="12" t="n">
        <f aca="false">RANK(I7,$I$5:$I$20)</f>
        <v>1</v>
      </c>
    </row>
    <row r="8" customFormat="false" ht="23.25" hidden="false" customHeight="true" outlineLevel="0" collapsed="false">
      <c r="A8" s="9" t="s">
        <v>406</v>
      </c>
      <c r="B8" s="9" t="s">
        <v>407</v>
      </c>
      <c r="C8" s="9" t="n">
        <v>4</v>
      </c>
      <c r="D8" s="9" t="n">
        <v>5</v>
      </c>
      <c r="E8" s="9" t="n">
        <v>1</v>
      </c>
      <c r="F8" s="9" t="s">
        <v>408</v>
      </c>
      <c r="G8" s="9" t="s">
        <v>409</v>
      </c>
      <c r="H8" s="9" t="s">
        <v>410</v>
      </c>
      <c r="I8" s="12" t="n">
        <f aca="false">C8*D8*(6-E8)</f>
        <v>100</v>
      </c>
      <c r="J8" s="12" t="n">
        <f aca="false">RANK(I8,$I$5:$I$20)</f>
        <v>1</v>
      </c>
    </row>
    <row r="9" customFormat="false" ht="23.25" hidden="false" customHeight="true" outlineLevel="0" collapsed="false">
      <c r="A9" s="9" t="s">
        <v>411</v>
      </c>
      <c r="B9" s="9" t="s">
        <v>412</v>
      </c>
      <c r="C9" s="9" t="n">
        <v>4</v>
      </c>
      <c r="D9" s="9" t="n">
        <v>5</v>
      </c>
      <c r="E9" s="9" t="n">
        <v>1</v>
      </c>
      <c r="F9" s="9" t="s">
        <v>413</v>
      </c>
      <c r="G9" s="9" t="s">
        <v>414</v>
      </c>
      <c r="H9" s="9" t="s">
        <v>415</v>
      </c>
      <c r="I9" s="12" t="n">
        <f aca="false">C9*D9*(6-E9)</f>
        <v>100</v>
      </c>
      <c r="J9" s="12" t="n">
        <f aca="false">RANK(I9,$I$5:$I$20)</f>
        <v>1</v>
      </c>
    </row>
    <row r="10" customFormat="false" ht="23.25" hidden="false" customHeight="true" outlineLevel="0" collapsed="false">
      <c r="A10" s="9" t="s">
        <v>416</v>
      </c>
      <c r="B10" s="9" t="s">
        <v>417</v>
      </c>
      <c r="C10" s="9" t="n">
        <v>5</v>
      </c>
      <c r="D10" s="9" t="n">
        <v>4</v>
      </c>
      <c r="E10" s="9" t="n">
        <v>3</v>
      </c>
      <c r="F10" s="9" t="s">
        <v>159</v>
      </c>
      <c r="G10" s="9" t="s">
        <v>418</v>
      </c>
      <c r="H10" s="9" t="s">
        <v>419</v>
      </c>
      <c r="I10" s="12" t="n">
        <f aca="false">C10*D10*(6-E10)</f>
        <v>60</v>
      </c>
      <c r="J10" s="12" t="n">
        <f aca="false">RANK(I10,$I$5:$I$20)</f>
        <v>12</v>
      </c>
    </row>
    <row r="11" customFormat="false" ht="15" hidden="false" customHeight="true" outlineLevel="0" collapsed="false">
      <c r="A11" s="9" t="s">
        <v>420</v>
      </c>
      <c r="B11" s="9" t="s">
        <v>421</v>
      </c>
      <c r="C11" s="9" t="n">
        <v>4</v>
      </c>
      <c r="D11" s="9" t="n">
        <v>5</v>
      </c>
      <c r="E11" s="9" t="n">
        <v>2</v>
      </c>
      <c r="F11" s="9" t="s">
        <v>403</v>
      </c>
      <c r="G11" s="9" t="s">
        <v>422</v>
      </c>
      <c r="H11" s="9" t="s">
        <v>423</v>
      </c>
      <c r="I11" s="12" t="n">
        <f aca="false">C11*D11*(6-E11)</f>
        <v>80</v>
      </c>
      <c r="J11" s="12" t="n">
        <f aca="false">RANK(I11,$I$5:$I$20)</f>
        <v>7</v>
      </c>
    </row>
    <row r="12" customFormat="false" ht="15" hidden="false" customHeight="true" outlineLevel="0" collapsed="false">
      <c r="A12" s="9" t="s">
        <v>424</v>
      </c>
      <c r="B12" s="9" t="s">
        <v>425</v>
      </c>
      <c r="C12" s="9" t="n">
        <v>3</v>
      </c>
      <c r="D12" s="9" t="n">
        <v>5</v>
      </c>
      <c r="E12" s="9" t="n">
        <v>1</v>
      </c>
      <c r="F12" s="9" t="s">
        <v>155</v>
      </c>
      <c r="G12" s="9" t="s">
        <v>426</v>
      </c>
      <c r="H12" s="9" t="s">
        <v>427</v>
      </c>
      <c r="I12" s="12" t="n">
        <f aca="false">C12*D12*(6-E12)</f>
        <v>75</v>
      </c>
      <c r="J12" s="12" t="n">
        <f aca="false">RANK(I12,$I$5:$I$20)</f>
        <v>9</v>
      </c>
    </row>
    <row r="13" customFormat="false" ht="15" hidden="false" customHeight="true" outlineLevel="0" collapsed="false">
      <c r="A13" s="9" t="s">
        <v>428</v>
      </c>
      <c r="B13" s="9" t="s">
        <v>429</v>
      </c>
      <c r="C13" s="9" t="n">
        <v>4</v>
      </c>
      <c r="D13" s="9" t="n">
        <v>4</v>
      </c>
      <c r="E13" s="9" t="n">
        <v>2</v>
      </c>
      <c r="F13" s="9" t="s">
        <v>159</v>
      </c>
      <c r="G13" s="9" t="s">
        <v>430</v>
      </c>
      <c r="H13" s="9" t="s">
        <v>431</v>
      </c>
      <c r="I13" s="12" t="n">
        <f aca="false">C13*D13*(6-E13)</f>
        <v>64</v>
      </c>
      <c r="J13" s="12" t="n">
        <f aca="false">RANK(I13,$I$5:$I$20)</f>
        <v>10</v>
      </c>
    </row>
    <row r="14" customFormat="false" ht="15" hidden="false" customHeight="true" outlineLevel="0" collapsed="false">
      <c r="A14" s="9" t="s">
        <v>432</v>
      </c>
      <c r="B14" s="9" t="s">
        <v>433</v>
      </c>
      <c r="C14" s="9" t="n">
        <v>4</v>
      </c>
      <c r="D14" s="9" t="n">
        <v>4</v>
      </c>
      <c r="E14" s="9" t="n">
        <v>3</v>
      </c>
      <c r="F14" s="9" t="s">
        <v>159</v>
      </c>
      <c r="G14" s="9" t="s">
        <v>434</v>
      </c>
      <c r="H14" s="9" t="s">
        <v>435</v>
      </c>
      <c r="I14" s="12" t="n">
        <f aca="false">C14*D14*(6-E14)</f>
        <v>48</v>
      </c>
      <c r="J14" s="12" t="n">
        <f aca="false">RANK(I14,$I$5:$I$20)</f>
        <v>14</v>
      </c>
    </row>
    <row r="15" customFormat="false" ht="15" hidden="false" customHeight="true" outlineLevel="0" collapsed="false">
      <c r="A15" s="9" t="s">
        <v>436</v>
      </c>
      <c r="B15" s="9" t="s">
        <v>437</v>
      </c>
      <c r="C15" s="9" t="n">
        <v>3</v>
      </c>
      <c r="D15" s="9" t="n">
        <v>4</v>
      </c>
      <c r="E15" s="9" t="n">
        <v>4</v>
      </c>
      <c r="F15" s="9" t="s">
        <v>398</v>
      </c>
      <c r="G15" s="9" t="s">
        <v>438</v>
      </c>
      <c r="H15" s="9" t="s">
        <v>439</v>
      </c>
      <c r="I15" s="12" t="n">
        <f aca="false">C15*D15*(6-E15)</f>
        <v>24</v>
      </c>
      <c r="J15" s="12" t="n">
        <f aca="false">RANK(I15,$I$5:$I$20)</f>
        <v>16</v>
      </c>
    </row>
    <row r="16" customFormat="false" ht="23.25" hidden="false" customHeight="true" outlineLevel="0" collapsed="false">
      <c r="A16" s="9" t="s">
        <v>440</v>
      </c>
      <c r="B16" s="9" t="s">
        <v>441</v>
      </c>
      <c r="C16" s="9" t="n">
        <v>3</v>
      </c>
      <c r="D16" s="9" t="n">
        <v>5</v>
      </c>
      <c r="E16" s="9" t="n">
        <v>2</v>
      </c>
      <c r="F16" s="9" t="s">
        <v>155</v>
      </c>
      <c r="G16" s="9" t="s">
        <v>442</v>
      </c>
      <c r="H16" s="9" t="s">
        <v>443</v>
      </c>
      <c r="I16" s="12" t="n">
        <f aca="false">C16*D16*(6-E16)</f>
        <v>60</v>
      </c>
      <c r="J16" s="12" t="n">
        <f aca="false">RANK(I16,$I$5:$I$20)</f>
        <v>12</v>
      </c>
    </row>
    <row r="17" customFormat="false" ht="15" hidden="false" customHeight="true" outlineLevel="0" collapsed="false">
      <c r="A17" s="9" t="s">
        <v>444</v>
      </c>
      <c r="B17" s="9" t="s">
        <v>445</v>
      </c>
      <c r="C17" s="9" t="n">
        <v>4</v>
      </c>
      <c r="D17" s="9" t="n">
        <v>5</v>
      </c>
      <c r="E17" s="9" t="n">
        <v>1</v>
      </c>
      <c r="F17" s="9" t="s">
        <v>398</v>
      </c>
      <c r="G17" s="9" t="s">
        <v>446</v>
      </c>
      <c r="H17" s="9" t="s">
        <v>447</v>
      </c>
      <c r="I17" s="12" t="n">
        <f aca="false">C17*D17*(6-E17)</f>
        <v>100</v>
      </c>
      <c r="J17" s="12" t="n">
        <f aca="false">RANK(I17,$I$5:$I$20)</f>
        <v>1</v>
      </c>
    </row>
    <row r="18" customFormat="false" ht="23.25" hidden="false" customHeight="true" outlineLevel="0" collapsed="false">
      <c r="A18" s="9" t="s">
        <v>448</v>
      </c>
      <c r="B18" s="9" t="s">
        <v>449</v>
      </c>
      <c r="C18" s="9" t="n">
        <v>5</v>
      </c>
      <c r="D18" s="9" t="n">
        <v>5</v>
      </c>
      <c r="E18" s="9" t="n">
        <v>2</v>
      </c>
      <c r="F18" s="9" t="s">
        <v>450</v>
      </c>
      <c r="G18" s="9" t="s">
        <v>451</v>
      </c>
      <c r="H18" s="9" t="s">
        <v>452</v>
      </c>
      <c r="I18" s="12" t="n">
        <f aca="false">C18*D18*(6-E18)</f>
        <v>100</v>
      </c>
      <c r="J18" s="12" t="n">
        <f aca="false">RANK(I18,$I$5:$I$20)</f>
        <v>1</v>
      </c>
    </row>
    <row r="19" customFormat="false" ht="23.25" hidden="false" customHeight="true" outlineLevel="0" collapsed="false">
      <c r="A19" s="9" t="s">
        <v>453</v>
      </c>
      <c r="B19" s="9" t="s">
        <v>454</v>
      </c>
      <c r="C19" s="9" t="n">
        <v>4</v>
      </c>
      <c r="D19" s="9" t="n">
        <v>5</v>
      </c>
      <c r="E19" s="9" t="n">
        <v>4</v>
      </c>
      <c r="F19" s="9" t="s">
        <v>455</v>
      </c>
      <c r="G19" s="9" t="s">
        <v>456</v>
      </c>
      <c r="H19" s="9" t="s">
        <v>457</v>
      </c>
      <c r="I19" s="12" t="n">
        <f aca="false">C19*D19*(6-E19)</f>
        <v>40</v>
      </c>
      <c r="J19" s="12" t="n">
        <f aca="false">RANK(I19,$I$5:$I$20)</f>
        <v>15</v>
      </c>
    </row>
    <row r="20" customFormat="false" ht="23.25" hidden="false" customHeight="true" outlineLevel="0" collapsed="false">
      <c r="A20" s="9" t="s">
        <v>458</v>
      </c>
      <c r="B20" s="9" t="s">
        <v>459</v>
      </c>
      <c r="C20" s="9" t="n">
        <v>4</v>
      </c>
      <c r="D20" s="9" t="n">
        <v>5</v>
      </c>
      <c r="E20" s="9" t="n">
        <v>2</v>
      </c>
      <c r="F20" s="9" t="s">
        <v>159</v>
      </c>
      <c r="G20" s="9" t="s">
        <v>460</v>
      </c>
      <c r="H20" s="9" t="s">
        <v>461</v>
      </c>
      <c r="I20" s="12" t="n">
        <f aca="false">C20*D20*(6-E20)</f>
        <v>80</v>
      </c>
      <c r="J20" s="12" t="n">
        <f aca="false">RANK(I20,$I$5:$I$20)</f>
        <v>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21.75" hidden="false" customHeight="true" outlineLevel="0" collapsed="false">
      <c r="A1" s="5" t="s">
        <v>462</v>
      </c>
      <c r="B1" s="5"/>
      <c r="C1" s="5"/>
      <c r="D1" s="5"/>
      <c r="E1" s="5"/>
    </row>
    <row r="2" customFormat="false" ht="15" hidden="false" customHeight="true" outlineLevel="0" collapsed="false">
      <c r="A2" s="4" t="s">
        <v>463</v>
      </c>
    </row>
    <row r="4" customFormat="false" ht="26.25" hidden="false" customHeight="true" outlineLevel="0" collapsed="false">
      <c r="A4" s="10" t="s">
        <v>464</v>
      </c>
      <c r="B4" s="10" t="s">
        <v>465</v>
      </c>
      <c r="C4" s="10" t="s">
        <v>466</v>
      </c>
      <c r="D4" s="10" t="s">
        <v>467</v>
      </c>
      <c r="E4" s="10" t="s">
        <v>45</v>
      </c>
      <c r="F4" s="20" t="s">
        <v>468</v>
      </c>
      <c r="G4" s="20" t="s">
        <v>469</v>
      </c>
    </row>
    <row r="5" customFormat="false" ht="23.25" hidden="false" customHeight="true" outlineLevel="0" collapsed="false">
      <c r="A5" s="9" t="s">
        <v>470</v>
      </c>
      <c r="B5" s="9" t="s">
        <v>471</v>
      </c>
      <c r="C5" s="9" t="n">
        <v>7</v>
      </c>
      <c r="D5" s="9" t="n">
        <v>8</v>
      </c>
      <c r="E5" s="9" t="s">
        <v>472</v>
      </c>
      <c r="F5" s="12" t="n">
        <f aca="false">C5*D5</f>
        <v>56</v>
      </c>
      <c r="G5" s="21" t="n">
        <f aca="false">F5/SUM($F$5:$F$12)</f>
        <v>0.155555555555556</v>
      </c>
    </row>
    <row r="6" customFormat="false" ht="15" hidden="false" customHeight="true" outlineLevel="0" collapsed="false">
      <c r="A6" s="9" t="s">
        <v>473</v>
      </c>
      <c r="B6" s="9" t="s">
        <v>474</v>
      </c>
      <c r="C6" s="9" t="n">
        <v>8</v>
      </c>
      <c r="D6" s="9" t="n">
        <v>10</v>
      </c>
      <c r="E6" s="9" t="s">
        <v>475</v>
      </c>
      <c r="F6" s="12" t="n">
        <f aca="false">C6*D6</f>
        <v>80</v>
      </c>
      <c r="G6" s="21" t="n">
        <f aca="false">F6/SUM($F$5:$F$12)</f>
        <v>0.222222222222222</v>
      </c>
    </row>
    <row r="7" customFormat="false" ht="23.25" hidden="false" customHeight="true" outlineLevel="0" collapsed="false">
      <c r="A7" s="9" t="s">
        <v>476</v>
      </c>
      <c r="B7" s="9" t="s">
        <v>477</v>
      </c>
      <c r="C7" s="9" t="n">
        <v>5</v>
      </c>
      <c r="D7" s="9" t="n">
        <v>8</v>
      </c>
      <c r="E7" s="9" t="s">
        <v>478</v>
      </c>
      <c r="F7" s="12" t="n">
        <f aca="false">C7*D7</f>
        <v>40</v>
      </c>
      <c r="G7" s="21" t="n">
        <f aca="false">F7/SUM($F$5:$F$12)</f>
        <v>0.111111111111111</v>
      </c>
    </row>
    <row r="8" customFormat="false" ht="23.25" hidden="false" customHeight="true" outlineLevel="0" collapsed="false">
      <c r="A8" s="9" t="s">
        <v>479</v>
      </c>
      <c r="B8" s="9" t="s">
        <v>480</v>
      </c>
      <c r="C8" s="9" t="n">
        <v>7</v>
      </c>
      <c r="D8" s="9" t="n">
        <v>9</v>
      </c>
      <c r="E8" s="9" t="s">
        <v>481</v>
      </c>
      <c r="F8" s="12" t="n">
        <f aca="false">C8*D8</f>
        <v>63</v>
      </c>
      <c r="G8" s="21" t="n">
        <f aca="false">F8/SUM($F$5:$F$12)</f>
        <v>0.175</v>
      </c>
    </row>
    <row r="9" customFormat="false" ht="23.25" hidden="false" customHeight="true" outlineLevel="0" collapsed="false">
      <c r="A9" s="9" t="s">
        <v>482</v>
      </c>
      <c r="B9" s="9" t="s">
        <v>483</v>
      </c>
      <c r="C9" s="9" t="n">
        <v>4</v>
      </c>
      <c r="D9" s="9" t="n">
        <v>4</v>
      </c>
      <c r="E9" s="9" t="s">
        <v>484</v>
      </c>
      <c r="F9" s="12" t="n">
        <f aca="false">C9*D9</f>
        <v>16</v>
      </c>
      <c r="G9" s="21" t="n">
        <f aca="false">F9/SUM($F$5:$F$12)</f>
        <v>0.0444444444444444</v>
      </c>
    </row>
    <row r="10" customFormat="false" ht="23.25" hidden="false" customHeight="true" outlineLevel="0" collapsed="false">
      <c r="A10" s="9" t="s">
        <v>485</v>
      </c>
      <c r="B10" s="9" t="s">
        <v>486</v>
      </c>
      <c r="C10" s="9" t="n">
        <v>8</v>
      </c>
      <c r="D10" s="9" t="n">
        <v>5</v>
      </c>
      <c r="E10" s="9" t="s">
        <v>487</v>
      </c>
      <c r="F10" s="12" t="n">
        <f aca="false">C10*D10</f>
        <v>40</v>
      </c>
      <c r="G10" s="21" t="n">
        <f aca="false">F10/SUM($F$5:$F$12)</f>
        <v>0.111111111111111</v>
      </c>
    </row>
    <row r="11" customFormat="false" ht="15" hidden="false" customHeight="true" outlineLevel="0" collapsed="false">
      <c r="A11" s="9" t="s">
        <v>488</v>
      </c>
      <c r="B11" s="9" t="s">
        <v>489</v>
      </c>
      <c r="C11" s="9" t="n">
        <v>7</v>
      </c>
      <c r="D11" s="9" t="n">
        <v>5</v>
      </c>
      <c r="E11" s="9" t="s">
        <v>490</v>
      </c>
      <c r="F11" s="12" t="n">
        <f aca="false">C11*D11</f>
        <v>35</v>
      </c>
      <c r="G11" s="21" t="n">
        <f aca="false">F11/SUM($F$5:$F$12)</f>
        <v>0.0972222222222222</v>
      </c>
    </row>
    <row r="12" customFormat="false" ht="15" hidden="false" customHeight="true" outlineLevel="0" collapsed="false">
      <c r="A12" s="9" t="s">
        <v>491</v>
      </c>
      <c r="B12" s="9" t="s">
        <v>492</v>
      </c>
      <c r="C12" s="9" t="n">
        <v>6</v>
      </c>
      <c r="D12" s="9" t="n">
        <v>5</v>
      </c>
      <c r="E12" s="9" t="s">
        <v>493</v>
      </c>
      <c r="F12" s="12" t="n">
        <f aca="false">C12*D12</f>
        <v>30</v>
      </c>
      <c r="G12" s="21" t="n">
        <f aca="false">F12/SUM($F$5:$F$12)</f>
        <v>0.0833333333333333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50"/>
    <col collapsed="false" customWidth="true" hidden="false" outlineLevel="0" max="4" min="4" style="1" width="38"/>
    <col collapsed="false" customWidth="true" hidden="false" outlineLevel="0" max="5" min="5" style="1" width="14"/>
    <col collapsed="false" customWidth="true" hidden="false" outlineLevel="0" max="6" min="6" style="1" width="26"/>
  </cols>
  <sheetData>
    <row r="1" customFormat="false" ht="21.75" hidden="false" customHeight="true" outlineLevel="0" collapsed="false">
      <c r="A1" s="5" t="s">
        <v>494</v>
      </c>
      <c r="B1" s="5"/>
      <c r="C1" s="5"/>
      <c r="D1" s="5"/>
    </row>
    <row r="2" customFormat="false" ht="15" hidden="false" customHeight="true" outlineLevel="0" collapsed="false">
      <c r="A2" s="4" t="s">
        <v>495</v>
      </c>
    </row>
    <row r="4" customFormat="false" ht="15" hidden="false" customHeight="true" outlineLevel="0" collapsed="false">
      <c r="A4" s="6" t="s">
        <v>496</v>
      </c>
      <c r="B4" s="9" t="s">
        <v>497</v>
      </c>
      <c r="C4" s="9"/>
      <c r="D4" s="9"/>
    </row>
    <row r="5" customFormat="false" ht="15" hidden="false" customHeight="true" outlineLevel="0" collapsed="false">
      <c r="A5" s="6" t="s">
        <v>498</v>
      </c>
      <c r="B5" s="9" t="s">
        <v>499</v>
      </c>
      <c r="C5" s="9"/>
      <c r="D5" s="9"/>
    </row>
    <row r="6" customFormat="false" ht="15" hidden="false" customHeight="true" outlineLevel="0" collapsed="false">
      <c r="A6" s="6" t="s">
        <v>500</v>
      </c>
      <c r="B6" s="9" t="s">
        <v>501</v>
      </c>
      <c r="C6" s="9"/>
      <c r="D6" s="9"/>
    </row>
    <row r="7" customFormat="false" ht="15" hidden="false" customHeight="true" outlineLevel="0" collapsed="false">
      <c r="A7" s="6" t="s">
        <v>502</v>
      </c>
      <c r="B7" s="9" t="s">
        <v>503</v>
      </c>
      <c r="C7" s="9"/>
      <c r="D7" s="9"/>
    </row>
    <row r="8" customFormat="false" ht="15" hidden="false" customHeight="true" outlineLevel="0" collapsed="false">
      <c r="A8" s="6" t="s">
        <v>504</v>
      </c>
      <c r="B8" s="9" t="s">
        <v>505</v>
      </c>
      <c r="C8" s="9"/>
      <c r="D8" s="9"/>
    </row>
    <row r="10" customFormat="false" ht="21.75" hidden="false" customHeight="true" outlineLevel="0" collapsed="false">
      <c r="A10" s="5" t="s">
        <v>506</v>
      </c>
      <c r="B10" s="5"/>
      <c r="C10" s="5"/>
      <c r="D10" s="5"/>
    </row>
    <row r="11" customFormat="false" ht="26.25" hidden="false" customHeight="true" outlineLevel="0" collapsed="false">
      <c r="A11" s="10" t="s">
        <v>195</v>
      </c>
      <c r="B11" s="10" t="s">
        <v>41</v>
      </c>
      <c r="C11" s="10" t="s">
        <v>507</v>
      </c>
      <c r="D11" s="10" t="s">
        <v>508</v>
      </c>
      <c r="E11" s="10" t="s">
        <v>509</v>
      </c>
      <c r="F11" s="10" t="s">
        <v>510</v>
      </c>
    </row>
    <row r="12" customFormat="false" ht="23.25" hidden="false" customHeight="true" outlineLevel="0" collapsed="false">
      <c r="A12" s="9" t="s">
        <v>511</v>
      </c>
      <c r="B12" s="9" t="s">
        <v>512</v>
      </c>
      <c r="C12" s="9" t="s">
        <v>513</v>
      </c>
      <c r="D12" s="9" t="s">
        <v>514</v>
      </c>
      <c r="E12" s="9" t="s">
        <v>515</v>
      </c>
      <c r="F12" s="9" t="s">
        <v>516</v>
      </c>
    </row>
    <row r="13" customFormat="false" ht="23.25" hidden="false" customHeight="true" outlineLevel="0" collapsed="false">
      <c r="A13" s="9" t="s">
        <v>517</v>
      </c>
      <c r="B13" s="9" t="s">
        <v>518</v>
      </c>
      <c r="C13" s="9" t="s">
        <v>519</v>
      </c>
      <c r="D13" s="9" t="s">
        <v>520</v>
      </c>
      <c r="E13" s="9" t="s">
        <v>521</v>
      </c>
      <c r="F13" s="9" t="s">
        <v>516</v>
      </c>
    </row>
    <row r="14" customFormat="false" ht="15" hidden="false" customHeight="true" outlineLevel="0" collapsed="false">
      <c r="A14" s="9" t="s">
        <v>522</v>
      </c>
      <c r="B14" s="9" t="s">
        <v>523</v>
      </c>
      <c r="C14" s="9" t="s">
        <v>524</v>
      </c>
      <c r="D14" s="9" t="s">
        <v>525</v>
      </c>
      <c r="E14" s="9" t="s">
        <v>526</v>
      </c>
      <c r="F14" s="9" t="s">
        <v>516</v>
      </c>
    </row>
    <row r="15" customFormat="false" ht="15" hidden="false" customHeight="true" outlineLevel="0" collapsed="false">
      <c r="A15" s="9" t="s">
        <v>527</v>
      </c>
      <c r="B15" s="9" t="s">
        <v>528</v>
      </c>
      <c r="C15" s="9" t="s">
        <v>529</v>
      </c>
      <c r="D15" s="9" t="s">
        <v>530</v>
      </c>
      <c r="E15" s="9" t="s">
        <v>531</v>
      </c>
      <c r="F15" s="9" t="s">
        <v>516</v>
      </c>
    </row>
    <row r="16" customFormat="false" ht="15" hidden="false" customHeight="true" outlineLevel="0" collapsed="false">
      <c r="A16" s="9" t="s">
        <v>532</v>
      </c>
      <c r="B16" s="9" t="s">
        <v>533</v>
      </c>
      <c r="C16" s="9" t="s">
        <v>534</v>
      </c>
      <c r="D16" s="9" t="s">
        <v>535</v>
      </c>
      <c r="E16" s="9" t="s">
        <v>536</v>
      </c>
      <c r="F16" s="9" t="s">
        <v>516</v>
      </c>
    </row>
    <row r="17" customFormat="false" ht="15" hidden="false" customHeight="true" outlineLevel="0" collapsed="false">
      <c r="A17" s="9" t="s">
        <v>537</v>
      </c>
      <c r="B17" s="9" t="s">
        <v>538</v>
      </c>
      <c r="C17" s="9" t="s">
        <v>539</v>
      </c>
      <c r="D17" s="9" t="s">
        <v>540</v>
      </c>
      <c r="E17" s="9" t="s">
        <v>541</v>
      </c>
      <c r="F17" s="9" t="s">
        <v>516</v>
      </c>
    </row>
    <row r="18" customFormat="false" ht="23.25" hidden="false" customHeight="true" outlineLevel="0" collapsed="false">
      <c r="A18" s="9" t="s">
        <v>542</v>
      </c>
      <c r="B18" s="9" t="s">
        <v>543</v>
      </c>
      <c r="C18" s="9" t="s">
        <v>544</v>
      </c>
      <c r="D18" s="9" t="s">
        <v>545</v>
      </c>
      <c r="E18" s="9" t="s">
        <v>546</v>
      </c>
      <c r="F18" s="9" t="s">
        <v>547</v>
      </c>
    </row>
    <row r="19" customFormat="false" ht="23.25" hidden="false" customHeight="true" outlineLevel="0" collapsed="false">
      <c r="A19" s="9" t="s">
        <v>548</v>
      </c>
      <c r="B19" s="9" t="s">
        <v>549</v>
      </c>
      <c r="C19" s="9" t="s">
        <v>550</v>
      </c>
      <c r="D19" s="9" t="s">
        <v>551</v>
      </c>
      <c r="E19" s="9" t="s">
        <v>521</v>
      </c>
      <c r="F19" s="9" t="s">
        <v>552</v>
      </c>
    </row>
    <row r="20" customFormat="false" ht="23.25" hidden="false" customHeight="true" outlineLevel="0" collapsed="false">
      <c r="A20" s="9" t="s">
        <v>553</v>
      </c>
      <c r="B20" s="9" t="s">
        <v>554</v>
      </c>
      <c r="C20" s="9" t="s">
        <v>555</v>
      </c>
      <c r="D20" s="9" t="s">
        <v>556</v>
      </c>
      <c r="E20" s="9" t="s">
        <v>557</v>
      </c>
      <c r="F20" s="9" t="s">
        <v>558</v>
      </c>
    </row>
    <row r="21" customFormat="false" ht="23.25" hidden="false" customHeight="true" outlineLevel="0" collapsed="false">
      <c r="A21" s="9" t="s">
        <v>559</v>
      </c>
      <c r="B21" s="9" t="s">
        <v>560</v>
      </c>
      <c r="C21" s="9" t="s">
        <v>561</v>
      </c>
      <c r="D21" s="9" t="s">
        <v>562</v>
      </c>
      <c r="E21" s="9" t="s">
        <v>563</v>
      </c>
      <c r="F21" s="9" t="s">
        <v>564</v>
      </c>
    </row>
    <row r="22" customFormat="false" ht="23.25" hidden="false" customHeight="true" outlineLevel="0" collapsed="false">
      <c r="A22" s="9" t="s">
        <v>565</v>
      </c>
      <c r="B22" s="9" t="s">
        <v>566</v>
      </c>
      <c r="C22" s="9" t="s">
        <v>567</v>
      </c>
      <c r="D22" s="9" t="s">
        <v>568</v>
      </c>
      <c r="E22" s="9" t="s">
        <v>569</v>
      </c>
      <c r="F22" s="9" t="s">
        <v>570</v>
      </c>
    </row>
    <row r="23" customFormat="false" ht="23.25" hidden="false" customHeight="true" outlineLevel="0" collapsed="false">
      <c r="A23" s="9" t="s">
        <v>571</v>
      </c>
      <c r="B23" s="9" t="s">
        <v>572</v>
      </c>
      <c r="C23" s="9" t="s">
        <v>573</v>
      </c>
      <c r="D23" s="9" t="s">
        <v>574</v>
      </c>
      <c r="E23" s="9" t="s">
        <v>575</v>
      </c>
      <c r="F23" s="9" t="s">
        <v>576</v>
      </c>
    </row>
    <row r="24" customFormat="false" ht="15" hidden="false" customHeight="true" outlineLevel="0" collapsed="false">
      <c r="A24" s="9" t="s">
        <v>577</v>
      </c>
      <c r="B24" s="9" t="s">
        <v>578</v>
      </c>
      <c r="C24" s="9" t="s">
        <v>579</v>
      </c>
      <c r="D24" s="9" t="s">
        <v>580</v>
      </c>
      <c r="E24" s="9" t="s">
        <v>531</v>
      </c>
      <c r="F24" s="9" t="s">
        <v>581</v>
      </c>
    </row>
    <row r="25" customFormat="false" ht="23.25" hidden="false" customHeight="true" outlineLevel="0" collapsed="false">
      <c r="A25" s="9" t="s">
        <v>582</v>
      </c>
      <c r="B25" s="9" t="s">
        <v>583</v>
      </c>
      <c r="C25" s="9" t="s">
        <v>584</v>
      </c>
      <c r="D25" s="9" t="s">
        <v>585</v>
      </c>
      <c r="E25" s="9" t="s">
        <v>586</v>
      </c>
      <c r="F25" s="9" t="s">
        <v>587</v>
      </c>
    </row>
    <row r="28" customFormat="false" ht="21.75" hidden="false" customHeight="true" outlineLevel="0" collapsed="false">
      <c r="A28" s="5" t="s">
        <v>588</v>
      </c>
      <c r="B28" s="5"/>
      <c r="C28" s="5"/>
      <c r="D28" s="5"/>
    </row>
    <row r="29" customFormat="false" ht="15" hidden="false" customHeight="true" outlineLevel="0" collapsed="false">
      <c r="A29" s="10" t="s">
        <v>589</v>
      </c>
      <c r="B29" s="10" t="s">
        <v>590</v>
      </c>
      <c r="C29" s="10" t="s">
        <v>591</v>
      </c>
    </row>
    <row r="30" customFormat="false" ht="23.25" hidden="false" customHeight="true" outlineLevel="0" collapsed="false">
      <c r="A30" s="9" t="s">
        <v>592</v>
      </c>
      <c r="B30" s="9" t="s">
        <v>593</v>
      </c>
      <c r="C30" s="9" t="s">
        <v>594</v>
      </c>
    </row>
    <row r="31" customFormat="false" ht="23.25" hidden="false" customHeight="true" outlineLevel="0" collapsed="false">
      <c r="A31" s="9" t="s">
        <v>595</v>
      </c>
      <c r="B31" s="9" t="s">
        <v>596</v>
      </c>
      <c r="C31" s="9" t="s">
        <v>597</v>
      </c>
    </row>
    <row r="32" customFormat="false" ht="23.25" hidden="false" customHeight="true" outlineLevel="0" collapsed="false">
      <c r="A32" s="9" t="s">
        <v>598</v>
      </c>
      <c r="B32" s="9" t="s">
        <v>599</v>
      </c>
      <c r="C32" s="9" t="s">
        <v>600</v>
      </c>
    </row>
    <row r="33" customFormat="false" ht="23.25" hidden="false" customHeight="true" outlineLevel="0" collapsed="false">
      <c r="A33" s="9" t="s">
        <v>601</v>
      </c>
      <c r="B33" s="9" t="s">
        <v>602</v>
      </c>
      <c r="C33" s="9" t="s">
        <v>603</v>
      </c>
    </row>
    <row r="34" customFormat="false" ht="23.25" hidden="false" customHeight="true" outlineLevel="0" collapsed="false">
      <c r="A34" s="9" t="s">
        <v>604</v>
      </c>
      <c r="B34" s="9" t="s">
        <v>605</v>
      </c>
      <c r="C34" s="9" t="s">
        <v>606</v>
      </c>
    </row>
    <row r="37" customFormat="false" ht="21.75" hidden="false" customHeight="true" outlineLevel="0" collapsed="false">
      <c r="A37" s="5" t="s">
        <v>607</v>
      </c>
      <c r="B37" s="5"/>
      <c r="C37" s="5"/>
      <c r="D37" s="5"/>
    </row>
    <row r="38" customFormat="false" ht="15" hidden="false" customHeight="true" outlineLevel="0" collapsed="false">
      <c r="A38" s="10" t="s">
        <v>608</v>
      </c>
      <c r="B38" s="10" t="s">
        <v>609</v>
      </c>
      <c r="C38" s="10" t="s">
        <v>610</v>
      </c>
    </row>
    <row r="39" customFormat="false" ht="15" hidden="false" customHeight="true" outlineLevel="0" collapsed="false">
      <c r="A39" s="9" t="s">
        <v>611</v>
      </c>
      <c r="B39" s="9" t="s">
        <v>612</v>
      </c>
      <c r="C39" s="9" t="s">
        <v>613</v>
      </c>
    </row>
    <row r="40" customFormat="false" ht="15" hidden="false" customHeight="true" outlineLevel="0" collapsed="false">
      <c r="A40" s="9" t="s">
        <v>614</v>
      </c>
      <c r="B40" s="9" t="s">
        <v>615</v>
      </c>
      <c r="C40" s="9" t="s">
        <v>616</v>
      </c>
    </row>
    <row r="41" customFormat="false" ht="15" hidden="false" customHeight="true" outlineLevel="0" collapsed="false">
      <c r="A41" s="9" t="s">
        <v>617</v>
      </c>
      <c r="B41" s="9" t="s">
        <v>618</v>
      </c>
      <c r="C41" s="9" t="s">
        <v>619</v>
      </c>
    </row>
    <row r="42" customFormat="false" ht="15" hidden="false" customHeight="true" outlineLevel="0" collapsed="false">
      <c r="A42" s="9" t="s">
        <v>620</v>
      </c>
      <c r="B42" s="9" t="s">
        <v>621</v>
      </c>
      <c r="C42" s="9" t="s">
        <v>622</v>
      </c>
    </row>
    <row r="43" customFormat="false" ht="15" hidden="false" customHeight="true" outlineLevel="0" collapsed="false">
      <c r="A43" s="9" t="s">
        <v>623</v>
      </c>
      <c r="B43" s="9" t="s">
        <v>624</v>
      </c>
      <c r="C43" s="9" t="s">
        <v>625</v>
      </c>
    </row>
    <row r="44" customFormat="false" ht="15" hidden="false" customHeight="true" outlineLevel="0" collapsed="false">
      <c r="A44" s="9" t="s">
        <v>626</v>
      </c>
      <c r="B44" s="9" t="s">
        <v>627</v>
      </c>
      <c r="C44" s="9" t="s">
        <v>628</v>
      </c>
    </row>
    <row r="45" customFormat="false" ht="15" hidden="false" customHeight="true" outlineLevel="0" collapsed="false">
      <c r="A45" s="9" t="s">
        <v>629</v>
      </c>
      <c r="B45" s="9" t="s">
        <v>630</v>
      </c>
      <c r="C45" s="9" t="s">
        <v>631</v>
      </c>
    </row>
    <row r="46" customFormat="false" ht="15" hidden="false" customHeight="true" outlineLevel="0" collapsed="false">
      <c r="A46" s="9" t="s">
        <v>632</v>
      </c>
      <c r="B46" s="9" t="s">
        <v>633</v>
      </c>
      <c r="C46" s="9" t="s">
        <v>634</v>
      </c>
    </row>
  </sheetData>
  <mergeCells count="9">
    <mergeCell ref="A1:D1"/>
    <mergeCell ref="B4:D4"/>
    <mergeCell ref="B5:D5"/>
    <mergeCell ref="B6:D6"/>
    <mergeCell ref="B7:D7"/>
    <mergeCell ref="B8:D8"/>
    <mergeCell ref="A10:D10"/>
    <mergeCell ref="A28:D28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8"/>
  </cols>
  <sheetData>
    <row r="1" customFormat="false" ht="21.75" hidden="false" customHeight="true" outlineLevel="0" collapsed="false">
      <c r="A1" s="5" t="s">
        <v>635</v>
      </c>
      <c r="B1" s="5"/>
      <c r="C1" s="5"/>
      <c r="D1" s="5"/>
      <c r="E1" s="5"/>
      <c r="F1" s="5"/>
      <c r="G1" s="5"/>
    </row>
    <row r="3" customFormat="false" ht="15" hidden="false" customHeight="true" outlineLevel="0" collapsed="false">
      <c r="A3" s="10" t="s">
        <v>636</v>
      </c>
      <c r="B3" s="10" t="s">
        <v>152</v>
      </c>
      <c r="C3" s="10" t="s">
        <v>637</v>
      </c>
      <c r="D3" s="10" t="s">
        <v>638</v>
      </c>
      <c r="E3" s="10" t="s">
        <v>639</v>
      </c>
      <c r="F3" s="10" t="s">
        <v>640</v>
      </c>
    </row>
    <row r="4" customFormat="false" ht="15" hidden="false" customHeight="true" outlineLevel="0" collapsed="false">
      <c r="A4" s="9" t="s">
        <v>641</v>
      </c>
      <c r="B4" s="9" t="s">
        <v>155</v>
      </c>
      <c r="C4" s="9" t="s">
        <v>642</v>
      </c>
      <c r="D4" s="9" t="s">
        <v>643</v>
      </c>
      <c r="E4" s="9" t="s">
        <v>644</v>
      </c>
      <c r="F4" s="9" t="s">
        <v>645</v>
      </c>
    </row>
    <row r="5" customFormat="false" ht="15" hidden="false" customHeight="true" outlineLevel="0" collapsed="false">
      <c r="A5" s="9" t="s">
        <v>646</v>
      </c>
      <c r="B5" s="9" t="s">
        <v>647</v>
      </c>
      <c r="C5" s="9" t="s">
        <v>648</v>
      </c>
      <c r="D5" s="9" t="s">
        <v>649</v>
      </c>
      <c r="E5" s="9" t="s">
        <v>51</v>
      </c>
      <c r="F5" s="9" t="s">
        <v>650</v>
      </c>
    </row>
    <row r="6" customFormat="false" ht="15" hidden="false" customHeight="true" outlineLevel="0" collapsed="false">
      <c r="A6" s="9" t="s">
        <v>651</v>
      </c>
      <c r="B6" s="9" t="s">
        <v>398</v>
      </c>
      <c r="C6" s="9" t="s">
        <v>652</v>
      </c>
      <c r="D6" s="9" t="s">
        <v>653</v>
      </c>
      <c r="E6" s="9" t="s">
        <v>654</v>
      </c>
      <c r="F6" s="9" t="s">
        <v>655</v>
      </c>
    </row>
    <row r="7" customFormat="false" ht="23.25" hidden="false" customHeight="true" outlineLevel="0" collapsed="false">
      <c r="A7" s="9" t="s">
        <v>656</v>
      </c>
      <c r="B7" s="9" t="s">
        <v>155</v>
      </c>
      <c r="C7" s="9" t="s">
        <v>611</v>
      </c>
      <c r="D7" s="9" t="s">
        <v>653</v>
      </c>
      <c r="E7" s="9" t="s">
        <v>657</v>
      </c>
      <c r="F7" s="9" t="s">
        <v>658</v>
      </c>
    </row>
    <row r="8" customFormat="false" ht="15" hidden="false" customHeight="true" outlineLevel="0" collapsed="false">
      <c r="A8" s="9" t="s">
        <v>659</v>
      </c>
      <c r="B8" s="9" t="s">
        <v>660</v>
      </c>
      <c r="C8" s="9" t="s">
        <v>661</v>
      </c>
      <c r="D8" s="9" t="s">
        <v>662</v>
      </c>
      <c r="E8" s="9" t="s">
        <v>663</v>
      </c>
      <c r="F8" s="9" t="s">
        <v>664</v>
      </c>
    </row>
    <row r="9" customFormat="false" ht="15" hidden="false" customHeight="true" outlineLevel="0" collapsed="false">
      <c r="A9" s="9" t="s">
        <v>665</v>
      </c>
      <c r="B9" s="9" t="s">
        <v>183</v>
      </c>
      <c r="C9" s="9" t="s">
        <v>666</v>
      </c>
      <c r="D9" s="9" t="s">
        <v>667</v>
      </c>
      <c r="E9" s="9" t="s">
        <v>668</v>
      </c>
      <c r="F9" s="9" t="s">
        <v>669</v>
      </c>
    </row>
    <row r="10" customFormat="false" ht="15" hidden="false" customHeight="true" outlineLevel="0" collapsed="false">
      <c r="A10" s="9" t="s">
        <v>670</v>
      </c>
      <c r="B10" s="9" t="s">
        <v>155</v>
      </c>
      <c r="C10" s="9" t="s">
        <v>671</v>
      </c>
      <c r="D10" s="9" t="s">
        <v>672</v>
      </c>
      <c r="E10" s="9" t="s">
        <v>673</v>
      </c>
      <c r="F10" s="9" t="s">
        <v>674</v>
      </c>
    </row>
    <row r="11" customFormat="false" ht="23.25" hidden="false" customHeight="true" outlineLevel="0" collapsed="false">
      <c r="A11" s="9" t="s">
        <v>675</v>
      </c>
      <c r="B11" s="9" t="s">
        <v>155</v>
      </c>
      <c r="C11" s="9" t="s">
        <v>676</v>
      </c>
      <c r="D11" s="9" t="s">
        <v>192</v>
      </c>
      <c r="E11" s="9" t="s">
        <v>677</v>
      </c>
      <c r="F11" s="9" t="s">
        <v>678</v>
      </c>
    </row>
    <row r="12" customFormat="false" ht="23.25" hidden="false" customHeight="true" outlineLevel="0" collapsed="false">
      <c r="A12" s="9" t="s">
        <v>679</v>
      </c>
      <c r="B12" s="9" t="s">
        <v>183</v>
      </c>
      <c r="C12" s="9" t="s">
        <v>680</v>
      </c>
      <c r="D12" s="9" t="s">
        <v>192</v>
      </c>
      <c r="E12" s="9" t="s">
        <v>681</v>
      </c>
      <c r="F12" s="9" t="s">
        <v>682</v>
      </c>
    </row>
    <row r="13" customFormat="false" ht="15" hidden="false" customHeight="true" outlineLevel="0" collapsed="false">
      <c r="A13" s="9" t="s">
        <v>683</v>
      </c>
      <c r="B13" s="9" t="s">
        <v>183</v>
      </c>
      <c r="C13" s="9" t="s">
        <v>684</v>
      </c>
      <c r="D13" s="9" t="s">
        <v>685</v>
      </c>
      <c r="E13" s="9" t="s">
        <v>686</v>
      </c>
      <c r="F13" s="9" t="s">
        <v>94</v>
      </c>
    </row>
    <row r="14" customFormat="false" ht="15" hidden="false" customHeight="true" outlineLevel="0" collapsed="false">
      <c r="A14" s="9" t="s">
        <v>687</v>
      </c>
      <c r="B14" s="9" t="s">
        <v>183</v>
      </c>
      <c r="C14" s="9" t="s">
        <v>688</v>
      </c>
      <c r="D14" s="9" t="s">
        <v>685</v>
      </c>
      <c r="E14" s="9" t="s">
        <v>689</v>
      </c>
      <c r="F14" s="9" t="s">
        <v>690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16"/>
  </cols>
  <sheetData>
    <row r="1" customFormat="false" ht="21.75" hidden="false" customHeight="true" outlineLevel="0" collapsed="false">
      <c r="A1" s="5" t="s">
        <v>691</v>
      </c>
      <c r="B1" s="5"/>
      <c r="C1" s="5"/>
      <c r="D1" s="5"/>
      <c r="E1" s="5"/>
      <c r="F1" s="5"/>
    </row>
    <row r="3" customFormat="false" ht="15" hidden="false" customHeight="true" outlineLevel="0" collapsed="false">
      <c r="A3" s="10" t="s">
        <v>692</v>
      </c>
      <c r="B3" s="10" t="s">
        <v>693</v>
      </c>
      <c r="C3" s="10" t="s">
        <v>694</v>
      </c>
      <c r="D3" s="10" t="s">
        <v>695</v>
      </c>
      <c r="E3" s="10" t="s">
        <v>152</v>
      </c>
      <c r="F3" s="10" t="s">
        <v>696</v>
      </c>
    </row>
    <row r="4" customFormat="false" ht="23.25" hidden="false" customHeight="true" outlineLevel="0" collapsed="false">
      <c r="A4" s="9" t="s">
        <v>697</v>
      </c>
      <c r="B4" s="9" t="s">
        <v>698</v>
      </c>
      <c r="C4" s="9" t="s">
        <v>699</v>
      </c>
      <c r="D4" s="9" t="s">
        <v>700</v>
      </c>
      <c r="E4" s="9" t="s">
        <v>455</v>
      </c>
      <c r="F4" s="9" t="s">
        <v>701</v>
      </c>
    </row>
    <row r="5" customFormat="false" ht="23.25" hidden="false" customHeight="true" outlineLevel="0" collapsed="false">
      <c r="A5" s="9" t="s">
        <v>702</v>
      </c>
      <c r="B5" s="9" t="s">
        <v>698</v>
      </c>
      <c r="C5" s="9" t="s">
        <v>703</v>
      </c>
      <c r="D5" s="9" t="s">
        <v>704</v>
      </c>
      <c r="E5" s="9" t="s">
        <v>155</v>
      </c>
      <c r="F5" s="9" t="s">
        <v>701</v>
      </c>
    </row>
    <row r="6" customFormat="false" ht="23.25" hidden="false" customHeight="true" outlineLevel="0" collapsed="false">
      <c r="A6" s="9" t="s">
        <v>705</v>
      </c>
      <c r="B6" s="9" t="s">
        <v>706</v>
      </c>
      <c r="C6" s="9" t="s">
        <v>707</v>
      </c>
      <c r="D6" s="9" t="s">
        <v>708</v>
      </c>
      <c r="E6" s="9" t="s">
        <v>155</v>
      </c>
      <c r="F6" s="9" t="s">
        <v>701</v>
      </c>
    </row>
    <row r="7" customFormat="false" ht="23.25" hidden="false" customHeight="true" outlineLevel="0" collapsed="false">
      <c r="A7" s="9" t="s">
        <v>709</v>
      </c>
      <c r="B7" s="9" t="s">
        <v>706</v>
      </c>
      <c r="C7" s="9" t="s">
        <v>710</v>
      </c>
      <c r="D7" s="9" t="s">
        <v>711</v>
      </c>
      <c r="E7" s="9" t="s">
        <v>155</v>
      </c>
      <c r="F7" s="9" t="s">
        <v>712</v>
      </c>
    </row>
    <row r="8" customFormat="false" ht="23.25" hidden="false" customHeight="true" outlineLevel="0" collapsed="false">
      <c r="A8" s="9" t="s">
        <v>713</v>
      </c>
      <c r="B8" s="9" t="s">
        <v>714</v>
      </c>
      <c r="C8" s="9" t="s">
        <v>715</v>
      </c>
      <c r="D8" s="9" t="s">
        <v>716</v>
      </c>
      <c r="E8" s="9" t="s">
        <v>717</v>
      </c>
      <c r="F8" s="9" t="s">
        <v>718</v>
      </c>
    </row>
    <row r="9" customFormat="false" ht="23.25" hidden="false" customHeight="true" outlineLevel="0" collapsed="false">
      <c r="A9" s="9" t="s">
        <v>719</v>
      </c>
      <c r="B9" s="9" t="s">
        <v>720</v>
      </c>
      <c r="C9" s="9" t="s">
        <v>721</v>
      </c>
      <c r="D9" s="9" t="s">
        <v>94</v>
      </c>
      <c r="E9" s="9" t="s">
        <v>155</v>
      </c>
      <c r="F9" s="9" t="s">
        <v>722</v>
      </c>
    </row>
    <row r="10" customFormat="false" ht="23.25" hidden="false" customHeight="true" outlineLevel="0" collapsed="false">
      <c r="A10" s="9" t="s">
        <v>723</v>
      </c>
      <c r="B10" s="9" t="s">
        <v>724</v>
      </c>
      <c r="C10" s="9" t="s">
        <v>725</v>
      </c>
      <c r="D10" s="9" t="s">
        <v>726</v>
      </c>
      <c r="E10" s="9" t="s">
        <v>155</v>
      </c>
      <c r="F10" s="9" t="s">
        <v>727</v>
      </c>
    </row>
    <row r="11" customFormat="false" ht="23.25" hidden="false" customHeight="true" outlineLevel="0" collapsed="false">
      <c r="A11" s="9" t="s">
        <v>728</v>
      </c>
      <c r="B11" s="9" t="s">
        <v>724</v>
      </c>
      <c r="C11" s="9" t="s">
        <v>729</v>
      </c>
      <c r="D11" s="9" t="s">
        <v>730</v>
      </c>
      <c r="E11" s="9" t="s">
        <v>183</v>
      </c>
      <c r="F11" s="9" t="s">
        <v>731</v>
      </c>
    </row>
    <row r="12" customFormat="false" ht="23.25" hidden="false" customHeight="true" outlineLevel="0" collapsed="false">
      <c r="A12" s="9" t="s">
        <v>732</v>
      </c>
      <c r="B12" s="9" t="s">
        <v>94</v>
      </c>
      <c r="C12" s="9" t="s">
        <v>733</v>
      </c>
      <c r="D12" s="9" t="s">
        <v>734</v>
      </c>
      <c r="E12" s="9" t="s">
        <v>398</v>
      </c>
      <c r="F12" s="9" t="s">
        <v>731</v>
      </c>
    </row>
    <row r="13" customFormat="false" ht="23.25" hidden="false" customHeight="true" outlineLevel="0" collapsed="false">
      <c r="A13" s="9" t="s">
        <v>735</v>
      </c>
      <c r="B13" s="9" t="s">
        <v>94</v>
      </c>
      <c r="C13" s="9" t="s">
        <v>736</v>
      </c>
      <c r="D13" s="9" t="s">
        <v>737</v>
      </c>
      <c r="E13" s="9" t="s">
        <v>155</v>
      </c>
      <c r="F13" s="9" t="s">
        <v>731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2026-05-27T03:25:32Z</dcterms:created>
  <dc:creator>openpyxl</dc:creator>
  <dc:description/>
  <dc:language>en-US</dc:language>
  <cp:lastModifiedBy/>
  <dcterms:modified xsi:type="dcterms:W3CDTF">2026-05-27T03:27:01Z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