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OPO.L Recon" sheetId="2" state="visible" r:id="rId4"/>
    <sheet name="Verify First" sheetId="3" state="visible" r:id="rId5"/>
    <sheet name="PDI Backlog" sheetId="4" state="visible" r:id="rId6"/>
    <sheet name="Portaloo" sheetId="5" state="visible" r:id="rId7"/>
    <sheet name="Count Sheet (print)" sheetId="6" state="visible" r:id="rId8"/>
  </sheets>
  <definedNames>
    <definedName function="false" hidden="true" localSheetId="1" name="_xlnm._FilterDatabase" vbProcedure="false">'OPO.L Recon'!$A$1:$H$204</definedName>
    <definedName function="false" hidden="true" localSheetId="3" name="_xlnm._FilterDatabase" vbProcedure="false">'PDI Backlog'!$A$1:$G$110</definedName>
    <definedName function="false" hidden="true" localSheetId="2" name="_xlnm._FilterDatabase" vbProcedure="false">'Verify First'!$A$1:$H$63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<sst xmlns="http://schemas.openxmlformats.org/spreadsheetml/2006/main" count="2584" uniqueCount="539">
  <si>
    <t xml:space="preserve">UAE YARD STOCKTAKE - DISCREPANCY DASHBOARD</t>
  </si>
  <si>
    <t xml:space="preserve">Source: UAE Inventory Audit.xlsx + 159 PDI folders in Drive (as of 10 Jun 2026)</t>
  </si>
  <si>
    <t xml:space="preserve">OPO.L (LINKABLES)</t>
  </si>
  <si>
    <t xml:space="preserve">Register total</t>
  </si>
  <si>
    <t xml:space="preserve">Book says in yard</t>
  </si>
  <si>
    <t xml:space="preserve">You counted in yard</t>
  </si>
  <si>
    <t xml:space="preserve">Confirmed in yard (book Yes + PDI)</t>
  </si>
  <si>
    <t xml:space="preserve">In yard per book, PDI still needed</t>
  </si>
  <si>
    <t xml:space="preserve">SUSPECTS: book "not in yard" but NO location</t>
  </si>
  <si>
    <t xml:space="preserve">CONFLICTS: book in-yard but note says off-site</t>
  </si>
  <si>
    <t xml:space="preserve">Off-site (KSA / DUTCO / Airport / Hayyat / FUJ)</t>
  </si>
  <si>
    <t xml:space="preserve">Explains your 115: book 89 + 29 no-location suspects = 118; minus 5 conflicts = 113. Your count sits inside this band -&gt; the gap IS those 34 rows.</t>
  </si>
  <si>
    <t xml:space="preserve">WHOLE YARD</t>
  </si>
  <si>
    <t xml:space="preserve">Units in register</t>
  </si>
  <si>
    <t xml:space="preserve">PDIs filed in Drive</t>
  </si>
  <si>
    <t xml:space="preserve">In-yard units with NO PDI (the unknowns)</t>
  </si>
  <si>
    <t xml:space="preserve">Units to verify first (flags wrong / conflicts / orphans)</t>
  </si>
  <si>
    <t xml:space="preserve">PORTALOOS</t>
  </si>
  <si>
    <t xml:space="preserve">Register rows</t>
  </si>
  <si>
    <t xml:space="preserve">Your count tab total</t>
  </si>
  <si>
    <t xml:space="preserve">Physical (102 yard + 6 airport)</t>
  </si>
  <si>
    <t xml:space="preserve">Likely answer: DA.PL.57 + DA.PL.58 are counted physically but excluded from your 106. Verify sticker "188" - no PL.188 exists in register.</t>
  </si>
  <si>
    <t xml:space="preserve">Plant No.</t>
  </si>
  <si>
    <t xml:space="preserve">Description</t>
  </si>
  <si>
    <t xml:space="preserve">Size</t>
  </si>
  <si>
    <t xml:space="preserve">Book: In Yard</t>
  </si>
  <si>
    <t xml:space="preserve">Note in audit</t>
  </si>
  <si>
    <t xml:space="preserve">PDI in Drive?</t>
  </si>
  <si>
    <t xml:space="preserve">Status</t>
  </si>
  <si>
    <t xml:space="preserve">Action</t>
  </si>
  <si>
    <t xml:space="preserve">OPO.L.20.01</t>
  </si>
  <si>
    <t xml:space="preserve">OPO</t>
  </si>
  <si>
    <t xml:space="preserve">20' L</t>
  </si>
  <si>
    <t xml:space="preserve">No</t>
  </si>
  <si>
    <t xml:space="preserve">JIZAN KSA</t>
  </si>
  <si>
    <t xml:space="preserve">Off-site: JIZAN KSA</t>
  </si>
  <si>
    <t xml:space="preserve">Confirm via site contact / delivery note</t>
  </si>
  <si>
    <t xml:space="preserve">OPO.L.20.02</t>
  </si>
  <si>
    <t xml:space="preserve">OPO.L.20.03</t>
  </si>
  <si>
    <t xml:space="preserve">Yes</t>
  </si>
  <si>
    <t xml:space="preserve">OPO.L.20.04</t>
  </si>
  <si>
    <t xml:space="preserve">OPO.L.20.05</t>
  </si>
  <si>
    <t xml:space="preserve">OPO.L.20.06</t>
  </si>
  <si>
    <t xml:space="preserve">OPO.L.20.07</t>
  </si>
  <si>
    <t xml:space="preserve">OPO.L.20.08</t>
  </si>
  <si>
    <t xml:space="preserve">QIDDIYA KSA</t>
  </si>
  <si>
    <t xml:space="preserve">Off-site: QIDDIYA KSA</t>
  </si>
  <si>
    <t xml:space="preserve">OPO.L.20.09</t>
  </si>
  <si>
    <t xml:space="preserve">In yard - confirmed (PDI done)</t>
  </si>
  <si>
    <t xml:space="preserve">None - reconciled</t>
  </si>
  <si>
    <t xml:space="preserve">OPO.L.20.10</t>
  </si>
  <si>
    <t xml:space="preserve">OPO.L.20.11</t>
  </si>
  <si>
    <t xml:space="preserve">OPO.L.20.12</t>
  </si>
  <si>
    <t xml:space="preserve">SUSPECT - no location recorded</t>
  </si>
  <si>
    <t xml:space="preserve">Physically verify + correct book</t>
  </si>
  <si>
    <t xml:space="preserve">OPO.L.20.13</t>
  </si>
  <si>
    <t xml:space="preserve">OPO Ticket booth</t>
  </si>
  <si>
    <t xml:space="preserve">OPO.L.20.14</t>
  </si>
  <si>
    <t xml:space="preserve">OPO.L.20.15</t>
  </si>
  <si>
    <t xml:space="preserve">OPO.L.20.16</t>
  </si>
  <si>
    <t xml:space="preserve">OPO.L.20.17</t>
  </si>
  <si>
    <t xml:space="preserve">DUTCO</t>
  </si>
  <si>
    <t xml:space="preserve">Off-site: DUTCO</t>
  </si>
  <si>
    <t xml:space="preserve">OPO.L.20.18</t>
  </si>
  <si>
    <t xml:space="preserve">OPO.L.20.19</t>
  </si>
  <si>
    <t xml:space="preserve">OPO.L.20.20</t>
  </si>
  <si>
    <t xml:space="preserve">OPO.L.20.21</t>
  </si>
  <si>
    <t xml:space="preserve">OPO.L.20.22</t>
  </si>
  <si>
    <t xml:space="preserve">OPO.L.20.23</t>
  </si>
  <si>
    <t xml:space="preserve">OPO.L.20.24</t>
  </si>
  <si>
    <t xml:space="preserve">OPO.L.20.25</t>
  </si>
  <si>
    <t xml:space="preserve">OPO.L.20.26</t>
  </si>
  <si>
    <t xml:space="preserve">OPO.L.20.27</t>
  </si>
  <si>
    <t xml:space="preserve">OPO.L.20.28</t>
  </si>
  <si>
    <t xml:space="preserve">OPO.L.20.29</t>
  </si>
  <si>
    <t xml:space="preserve">OPO.L.20.30</t>
  </si>
  <si>
    <t xml:space="preserve">OPO.L.20.31</t>
  </si>
  <si>
    <t xml:space="preserve">Dubai Hayyat Hotel</t>
  </si>
  <si>
    <t xml:space="preserve">CONFLICT - book in-yard, note says off-site</t>
  </si>
  <si>
    <t xml:space="preserve">OPO.L.20.32</t>
  </si>
  <si>
    <t xml:space="preserve">OPO.L.20.33</t>
  </si>
  <si>
    <t xml:space="preserve">OPO.L.20.34</t>
  </si>
  <si>
    <t xml:space="preserve">OPO.L.20.35</t>
  </si>
  <si>
    <t xml:space="preserve">OPO.L.20.36</t>
  </si>
  <si>
    <t xml:space="preserve">Off-site: Dubai Hayyat Hotel</t>
  </si>
  <si>
    <t xml:space="preserve">OPO.L.20.37</t>
  </si>
  <si>
    <t xml:space="preserve">OPO.L.20.38</t>
  </si>
  <si>
    <t xml:space="preserve">OPO.L.20.39</t>
  </si>
  <si>
    <t xml:space="preserve">OPO.L.20.40</t>
  </si>
  <si>
    <t xml:space="preserve">JIZZAN KSA</t>
  </si>
  <si>
    <t xml:space="preserve">Off-site: JIZZAN KSA</t>
  </si>
  <si>
    <t xml:space="preserve">OPO.L.20.41</t>
  </si>
  <si>
    <t xml:space="preserve">OPO.L.20.42</t>
  </si>
  <si>
    <t xml:space="preserve">OPO.L.20.43</t>
  </si>
  <si>
    <t xml:space="preserve">OPO.L.20.44</t>
  </si>
  <si>
    <t xml:space="preserve">OPO.L.20.45</t>
  </si>
  <si>
    <t xml:space="preserve">OPO.L.20.46</t>
  </si>
  <si>
    <t xml:space="preserve">OPO.L.20.47</t>
  </si>
  <si>
    <t xml:space="preserve">OPO.L.20.48</t>
  </si>
  <si>
    <t xml:space="preserve">OPO.L.20.49</t>
  </si>
  <si>
    <t xml:space="preserve">OPO.L.20.50</t>
  </si>
  <si>
    <t xml:space="preserve">OPO.L.20.51</t>
  </si>
  <si>
    <t xml:space="preserve">OPO.L.20.52</t>
  </si>
  <si>
    <t xml:space="preserve">OPO.L.20.53</t>
  </si>
  <si>
    <t xml:space="preserve">OPO.L.20.54</t>
  </si>
  <si>
    <t xml:space="preserve">OPO.L.20.55</t>
  </si>
  <si>
    <t xml:space="preserve">OPO.L.20.56</t>
  </si>
  <si>
    <t xml:space="preserve">OPO.L.20.57</t>
  </si>
  <si>
    <t xml:space="preserve">OPO.L.20.58</t>
  </si>
  <si>
    <t xml:space="preserve">OPO.L.20.59</t>
  </si>
  <si>
    <t xml:space="preserve">OPO.L.20.60</t>
  </si>
  <si>
    <t xml:space="preserve">OPO.L.20.61</t>
  </si>
  <si>
    <t xml:space="preserve">OPO.L.20.62</t>
  </si>
  <si>
    <t xml:space="preserve">OPO.L.20.63</t>
  </si>
  <si>
    <t xml:space="preserve">OPO.L.20.64</t>
  </si>
  <si>
    <t xml:space="preserve">OPO.L.20.65</t>
  </si>
  <si>
    <t xml:space="preserve">OPO.L.20.66</t>
  </si>
  <si>
    <t xml:space="preserve">OPO.L.20.67</t>
  </si>
  <si>
    <t xml:space="preserve">OPO.L.20.68</t>
  </si>
  <si>
    <t xml:space="preserve">OPO.L.20.69</t>
  </si>
  <si>
    <t xml:space="preserve">OPO.L.20.70</t>
  </si>
  <si>
    <t xml:space="preserve">OPO.L.20.71</t>
  </si>
  <si>
    <t xml:space="preserve">OPO.L.20.72</t>
  </si>
  <si>
    <t xml:space="preserve">OPO.L.20.73</t>
  </si>
  <si>
    <t xml:space="preserve">OPO.L.20.74</t>
  </si>
  <si>
    <t xml:space="preserve">OPO.L.20.75</t>
  </si>
  <si>
    <t xml:space="preserve">OPO.L.20.76</t>
  </si>
  <si>
    <t xml:space="preserve">OPO.L.20.77</t>
  </si>
  <si>
    <t xml:space="preserve">OPO.L.20.78</t>
  </si>
  <si>
    <t xml:space="preserve">OPO.L.20.79</t>
  </si>
  <si>
    <t xml:space="preserve">OPO.L.20.80</t>
  </si>
  <si>
    <t xml:space="preserve">OPO.L.20.81</t>
  </si>
  <si>
    <t xml:space="preserve">OPO.L.20.82</t>
  </si>
  <si>
    <t xml:space="preserve">OPO.L.20.83</t>
  </si>
  <si>
    <t xml:space="preserve">OPO.L.20.84</t>
  </si>
  <si>
    <t xml:space="preserve">OPO.L.20.85</t>
  </si>
  <si>
    <t xml:space="preserve">OPO.L.20.86</t>
  </si>
  <si>
    <t xml:space="preserve">OPO.L.20.87</t>
  </si>
  <si>
    <t xml:space="preserve">OPO.L.20.88</t>
  </si>
  <si>
    <t xml:space="preserve">OPO.L.20.89</t>
  </si>
  <si>
    <t xml:space="preserve">OPO.L.20.90</t>
  </si>
  <si>
    <t xml:space="preserve">OPO.L.20.91</t>
  </si>
  <si>
    <t xml:space="preserve">OPO.L.20.92</t>
  </si>
  <si>
    <t xml:space="preserve">OPO.L.20.93</t>
  </si>
  <si>
    <t xml:space="preserve">OPO.L.20.94</t>
  </si>
  <si>
    <t xml:space="preserve">OPO.L.20.95</t>
  </si>
  <si>
    <t xml:space="preserve">OPO.L.20.96</t>
  </si>
  <si>
    <t xml:space="preserve">OPO.L.20.97</t>
  </si>
  <si>
    <t xml:space="preserve">OPO.L.20.98</t>
  </si>
  <si>
    <t xml:space="preserve">OPO.L.20.99</t>
  </si>
  <si>
    <t xml:space="preserve">OPO.L.20.100</t>
  </si>
  <si>
    <t xml:space="preserve">OPO.L.20.101</t>
  </si>
  <si>
    <t xml:space="preserve">OPO.L.20.102</t>
  </si>
  <si>
    <t xml:space="preserve">OPO.L.20.103</t>
  </si>
  <si>
    <t xml:space="preserve">OPO.L.20.104</t>
  </si>
  <si>
    <t xml:space="preserve">OPO.L.20.105</t>
  </si>
  <si>
    <t xml:space="preserve">OPO.L.20.106</t>
  </si>
  <si>
    <t xml:space="preserve">OPO.L.20.107</t>
  </si>
  <si>
    <t xml:space="preserve">OPO.L.20.108</t>
  </si>
  <si>
    <t xml:space="preserve">OPO.L.20.109</t>
  </si>
  <si>
    <t xml:space="preserve">OPO.L.20.110</t>
  </si>
  <si>
    <t xml:space="preserve">OPO.L.20.111</t>
  </si>
  <si>
    <t xml:space="preserve">OPO.L.20.112</t>
  </si>
  <si>
    <t xml:space="preserve">OPO.L.20.113</t>
  </si>
  <si>
    <t xml:space="preserve">OPO.L.20.114</t>
  </si>
  <si>
    <t xml:space="preserve">OPO.L.20.115</t>
  </si>
  <si>
    <t xml:space="preserve">In yard per book - no PDI yet</t>
  </si>
  <si>
    <t xml:space="preserve">PDI this unit</t>
  </si>
  <si>
    <t xml:space="preserve">OPO.L.20.116</t>
  </si>
  <si>
    <t xml:space="preserve">OPO.L.20.117</t>
  </si>
  <si>
    <t xml:space="preserve">OPO.L.20.118</t>
  </si>
  <si>
    <t xml:space="preserve">OPO.L.20.119</t>
  </si>
  <si>
    <t xml:space="preserve">OPO.L.20.120</t>
  </si>
  <si>
    <t xml:space="preserve">OPO.L.20.121</t>
  </si>
  <si>
    <t xml:space="preserve">OPO.L.20.122</t>
  </si>
  <si>
    <t xml:space="preserve">OPO.L.20.123</t>
  </si>
  <si>
    <t xml:space="preserve">OPO.L.20.124</t>
  </si>
  <si>
    <t xml:space="preserve">AIRPORT</t>
  </si>
  <si>
    <t xml:space="preserve">Off-site: AIRPORT</t>
  </si>
  <si>
    <t xml:space="preserve">OPO.L.20.125</t>
  </si>
  <si>
    <t xml:space="preserve">OPO.L.20.126</t>
  </si>
  <si>
    <t xml:space="preserve">OPO.L.20.127</t>
  </si>
  <si>
    <t xml:space="preserve">OPO.L.20.128</t>
  </si>
  <si>
    <t xml:space="preserve">FUJ</t>
  </si>
  <si>
    <t xml:space="preserve">Off-site: FUJ</t>
  </si>
  <si>
    <t xml:space="preserve">OPO.L.20.129</t>
  </si>
  <si>
    <t xml:space="preserve">OPO.L.20.130</t>
  </si>
  <si>
    <t xml:space="preserve">OPO.L.20.131</t>
  </si>
  <si>
    <t xml:space="preserve">OPO.L.20.132</t>
  </si>
  <si>
    <t xml:space="preserve">OPO.L.20.133</t>
  </si>
  <si>
    <t xml:space="preserve">OPO.L.20.134</t>
  </si>
  <si>
    <t xml:space="preserve">OPO.L.20.135</t>
  </si>
  <si>
    <t xml:space="preserve">OPO.L.20.136</t>
  </si>
  <si>
    <t xml:space="preserve">OPO.L.20.137</t>
  </si>
  <si>
    <t xml:space="preserve">OPO.L.20.138</t>
  </si>
  <si>
    <t xml:space="preserve">OPO.L.20.139</t>
  </si>
  <si>
    <t xml:space="preserve">OPO.L.20.140</t>
  </si>
  <si>
    <t xml:space="preserve">OPO.L.20.141</t>
  </si>
  <si>
    <t xml:space="preserve">OPO.L.20.142</t>
  </si>
  <si>
    <t xml:space="preserve">OPO.L.20.143</t>
  </si>
  <si>
    <t xml:space="preserve">OPO.L.20.144</t>
  </si>
  <si>
    <t xml:space="preserve">OPO.L.20.145</t>
  </si>
  <si>
    <t xml:space="preserve">OPO.L.20.146</t>
  </si>
  <si>
    <t xml:space="preserve">OPO.L.20.147</t>
  </si>
  <si>
    <t xml:space="preserve">OPO.L.20.148</t>
  </si>
  <si>
    <t xml:space="preserve">OPO.L.20.149</t>
  </si>
  <si>
    <t xml:space="preserve">OPO.L.20.150</t>
  </si>
  <si>
    <t xml:space="preserve">OPO.L.20.151</t>
  </si>
  <si>
    <t xml:space="preserve">OPO.L.20.152</t>
  </si>
  <si>
    <t xml:space="preserve">OPO.L.20.153</t>
  </si>
  <si>
    <t xml:space="preserve">OPO.L.20.154</t>
  </si>
  <si>
    <t xml:space="preserve">OPO.L.20.155</t>
  </si>
  <si>
    <t xml:space="preserve">OPO.L.20.156</t>
  </si>
  <si>
    <t xml:space="preserve">OPO.L.20.157</t>
  </si>
  <si>
    <t xml:space="preserve">OPO.L.20.158</t>
  </si>
  <si>
    <t xml:space="preserve">OPO.L.20.159</t>
  </si>
  <si>
    <t xml:space="preserve">OPO.L.20.160</t>
  </si>
  <si>
    <t xml:space="preserve">OPO.L.20.161</t>
  </si>
  <si>
    <t xml:space="preserve">OPO.L.20.162</t>
  </si>
  <si>
    <t xml:space="preserve">OPO.L.20.163</t>
  </si>
  <si>
    <t xml:space="preserve">OPO.L.20.164</t>
  </si>
  <si>
    <t xml:space="preserve">OPO.L.20.165</t>
  </si>
  <si>
    <t xml:space="preserve">OPO.L.20.166</t>
  </si>
  <si>
    <t xml:space="preserve">OPO.L.20.167</t>
  </si>
  <si>
    <t xml:space="preserve">OPO.L.20.168</t>
  </si>
  <si>
    <t xml:space="preserve">OPO.L.20.169</t>
  </si>
  <si>
    <t xml:space="preserve">OPO.L.20.170</t>
  </si>
  <si>
    <t xml:space="preserve">OPO.L.20.171</t>
  </si>
  <si>
    <t xml:space="preserve">OPO.L.20.172</t>
  </si>
  <si>
    <t xml:space="preserve">OPO.L.20.173</t>
  </si>
  <si>
    <t xml:space="preserve">OPO.L.20.174</t>
  </si>
  <si>
    <t xml:space="preserve">Airport</t>
  </si>
  <si>
    <t xml:space="preserve">OPO.L.20.175</t>
  </si>
  <si>
    <t xml:space="preserve">OPO.L.20.176</t>
  </si>
  <si>
    <t xml:space="preserve">OPO.L.20.177</t>
  </si>
  <si>
    <t xml:space="preserve">OPO.L.20.178</t>
  </si>
  <si>
    <t xml:space="preserve">OPO.L.20.179</t>
  </si>
  <si>
    <t xml:space="preserve">OPO.L.20.180</t>
  </si>
  <si>
    <t xml:space="preserve">OPO.L.20.181</t>
  </si>
  <si>
    <t xml:space="preserve">OPO.L.20.182</t>
  </si>
  <si>
    <t xml:space="preserve">OPO.L.20.183</t>
  </si>
  <si>
    <t xml:space="preserve">OPO.L.20.184</t>
  </si>
  <si>
    <t xml:space="preserve">OPO.L.20.185</t>
  </si>
  <si>
    <t xml:space="preserve">OPO.L.20.186</t>
  </si>
  <si>
    <t xml:space="preserve">OPO.L.20.187</t>
  </si>
  <si>
    <t xml:space="preserve">OPO.L.20.188</t>
  </si>
  <si>
    <t xml:space="preserve">DUPLICATE STICKER - twin unit in yard. Identify via PDI photos; re-sticker impostor</t>
  </si>
  <si>
    <t xml:space="preserve">OPO.L.20.189</t>
  </si>
  <si>
    <t xml:space="preserve">OPO.L.20.190</t>
  </si>
  <si>
    <t xml:space="preserve">OPO.L.20.191</t>
  </si>
  <si>
    <t xml:space="preserve">OPO.L.20.192</t>
  </si>
  <si>
    <t xml:space="preserve">OPO.L.20.193</t>
  </si>
  <si>
    <t xml:space="preserve">OPO.L.20.194</t>
  </si>
  <si>
    <t xml:space="preserve">OPO.L.20.195</t>
  </si>
  <si>
    <t xml:space="preserve">OPO.L.20.196</t>
  </si>
  <si>
    <t xml:space="preserve">OPO.L.20.197</t>
  </si>
  <si>
    <t xml:space="preserve">OPO.L.20.198</t>
  </si>
  <si>
    <t xml:space="preserve">OPO.L.20.199</t>
  </si>
  <si>
    <t xml:space="preserve">OPO.L.20.200</t>
  </si>
  <si>
    <t xml:space="preserve">OPO.L.20.201</t>
  </si>
  <si>
    <t xml:space="preserve">Off-site: Airport</t>
  </si>
  <si>
    <t xml:space="preserve">OPO.L.20.202</t>
  </si>
  <si>
    <t xml:space="preserve">OPO.L.20.203</t>
  </si>
  <si>
    <t xml:space="preserve">Category</t>
  </si>
  <si>
    <t xml:space="preserve">Why flagged</t>
  </si>
  <si>
    <t xml:space="preserve">Book says</t>
  </si>
  <si>
    <t xml:space="preserve">Found in yard? (Y/N)</t>
  </si>
  <si>
    <t xml:space="preserve">Sticker fitted? (Y/N)</t>
  </si>
  <si>
    <t xml:space="preserve">Verified by</t>
  </si>
  <si>
    <t xml:space="preserve">Date</t>
  </si>
  <si>
    <t xml:space="preserve">STC.20.5</t>
  </si>
  <si>
    <t xml:space="preserve">Cabins</t>
  </si>
  <si>
    <t xml:space="preserve">PDI exists in Drive -&gt; unit was physically present</t>
  </si>
  <si>
    <t xml:space="preserve">NOT in yard</t>
  </si>
  <si>
    <t xml:space="preserve">STC.20.6</t>
  </si>
  <si>
    <t xml:space="preserve">STC.40.1</t>
  </si>
  <si>
    <t xml:space="preserve">Marked in-yard but note says: going to the airpport</t>
  </si>
  <si>
    <t xml:space="preserve">In yard</t>
  </si>
  <si>
    <t xml:space="preserve">STC.40.3</t>
  </si>
  <si>
    <t xml:space="preserve">STC.40.5</t>
  </si>
  <si>
    <t xml:space="preserve">STC.40.11</t>
  </si>
  <si>
    <t xml:space="preserve">Not in yard per book, but NO location recorded</t>
  </si>
  <si>
    <t xml:space="preserve">Marked in-yard but note says: Dubai Hayyat Hotel</t>
  </si>
  <si>
    <t xml:space="preserve">Marked in-yard but note says: Airport</t>
  </si>
  <si>
    <t xml:space="preserve">Marked in-yard but note says: DUTCO</t>
  </si>
  <si>
    <t xml:space="preserve">FLX.WC.33</t>
  </si>
  <si>
    <t xml:space="preserve">Sanitation</t>
  </si>
  <si>
    <t xml:space="preserve">FLX.WC.46</t>
  </si>
  <si>
    <t xml:space="preserve">FLX.WC.47</t>
  </si>
  <si>
    <t xml:space="preserve">FLX.WC.57</t>
  </si>
  <si>
    <t xml:space="preserve">FLX.WC.59</t>
  </si>
  <si>
    <t xml:space="preserve">FLX.WC.67</t>
  </si>
  <si>
    <t xml:space="preserve">PL.03</t>
  </si>
  <si>
    <t xml:space="preserve">Portaloo</t>
  </si>
  <si>
    <t xml:space="preserve">PL.107</t>
  </si>
  <si>
    <t xml:space="preserve">PL.116</t>
  </si>
  <si>
    <t xml:space="preserve">PL.145</t>
  </si>
  <si>
    <t xml:space="preserve">PL.15</t>
  </si>
  <si>
    <t xml:space="preserve">PL.161</t>
  </si>
  <si>
    <t xml:space="preserve">PL.24</t>
  </si>
  <si>
    <t xml:space="preserve">PL.30</t>
  </si>
  <si>
    <t xml:space="preserve">PL.59</t>
  </si>
  <si>
    <t xml:space="preserve">PL.6</t>
  </si>
  <si>
    <t xml:space="preserve">PL.86</t>
  </si>
  <si>
    <t xml:space="preserve">PL.95</t>
  </si>
  <si>
    <t xml:space="preserve">SSC.40.3</t>
  </si>
  <si>
    <t xml:space="preserve">?</t>
  </si>
  <si>
    <t xml:space="preserve">PDI folder exists in Drive but plant no. is NOT in the audit register (typo of STC.40.3? or unregistered unit)</t>
  </si>
  <si>
    <t xml:space="preserve">Not in book</t>
  </si>
  <si>
    <t xml:space="preserve">OPO.L.20.188 (x2)</t>
  </si>
  <si>
    <t xml:space="preserve">DUPLICATE: two physical units both stickered OPO.L.20.188. Match each against PDI photos (PDI filed 05 Jun 2026) - the match keeps 188. Impostor: check frame/chassis serial + ghost of old sticker; likely one of the 29 no-location suspects. If identity unprovable, assign next free number OPO.L.20.204 and log as found asset - do NOT guess.</t>
  </si>
  <si>
    <t xml:space="preserve">1 in register</t>
  </si>
  <si>
    <t xml:space="preserve">DA.PL.57</t>
  </si>
  <si>
    <t xml:space="preserve">DA-prefix unit excluded from "Total 106" count - likely one of the 2 extra portaloos</t>
  </si>
  <si>
    <t xml:space="preserve">In book, not in count</t>
  </si>
  <si>
    <t xml:space="preserve">DA.PL.58</t>
  </si>
  <si>
    <t xml:space="preserve">Priority</t>
  </si>
  <si>
    <t xml:space="preserve">PDI done (date)</t>
  </si>
  <si>
    <t xml:space="preserve">Inspector</t>
  </si>
  <si>
    <t xml:space="preserve">OPO.20.01</t>
  </si>
  <si>
    <t xml:space="preserve">20'</t>
  </si>
  <si>
    <t xml:space="preserve">OPO.20.02</t>
  </si>
  <si>
    <t xml:space="preserve">OPO.20.03</t>
  </si>
  <si>
    <t xml:space="preserve">OPO.20.05</t>
  </si>
  <si>
    <t xml:space="preserve">OPO.20.10</t>
  </si>
  <si>
    <t xml:space="preserve">OPO.20.11</t>
  </si>
  <si>
    <t xml:space="preserve">OPO.20.12</t>
  </si>
  <si>
    <t xml:space="preserve">OPO.20.16</t>
  </si>
  <si>
    <t xml:space="preserve">OPO.20.17</t>
  </si>
  <si>
    <t xml:space="preserve">OPO.20.23</t>
  </si>
  <si>
    <t xml:space="preserve">OPO.20.24</t>
  </si>
  <si>
    <t xml:space="preserve">OPO.20.26</t>
  </si>
  <si>
    <t xml:space="preserve">OPO.20.27</t>
  </si>
  <si>
    <t xml:space="preserve">OPO.20.28</t>
  </si>
  <si>
    <t xml:space="preserve">OPO.20.29</t>
  </si>
  <si>
    <t xml:space="preserve">OPO.20.30</t>
  </si>
  <si>
    <t xml:space="preserve">OPO.20.31</t>
  </si>
  <si>
    <t xml:space="preserve">OPO.24.1</t>
  </si>
  <si>
    <t xml:space="preserve">24'</t>
  </si>
  <si>
    <t xml:space="preserve">OPO.30.1</t>
  </si>
  <si>
    <t xml:space="preserve">30'</t>
  </si>
  <si>
    <t xml:space="preserve">OPO.30.4</t>
  </si>
  <si>
    <t xml:space="preserve">OPO.30.6</t>
  </si>
  <si>
    <t xml:space="preserve">SHC.20.3</t>
  </si>
  <si>
    <t xml:space="preserve">Shower</t>
  </si>
  <si>
    <t xml:space="preserve">SHC.20.4</t>
  </si>
  <si>
    <t xml:space="preserve">SHC.20.5</t>
  </si>
  <si>
    <t xml:space="preserve">SHC.F.20.1</t>
  </si>
  <si>
    <t xml:space="preserve">SHC.M.20..1</t>
  </si>
  <si>
    <t xml:space="preserve">STC.20.3</t>
  </si>
  <si>
    <t xml:space="preserve">TB.10.1</t>
  </si>
  <si>
    <t xml:space="preserve">Ticket</t>
  </si>
  <si>
    <t xml:space="preserve">10'</t>
  </si>
  <si>
    <t xml:space="preserve">TB.10.10</t>
  </si>
  <si>
    <t xml:space="preserve">8'</t>
  </si>
  <si>
    <t xml:space="preserve">TB.10.11</t>
  </si>
  <si>
    <t xml:space="preserve">TB.10.3</t>
  </si>
  <si>
    <t xml:space="preserve">TB.10.4</t>
  </si>
  <si>
    <t xml:space="preserve">TB.10.5</t>
  </si>
  <si>
    <t xml:space="preserve">TB.10.6</t>
  </si>
  <si>
    <t xml:space="preserve">TB.10.7</t>
  </si>
  <si>
    <t xml:space="preserve">TB.10.8</t>
  </si>
  <si>
    <t xml:space="preserve">TB.40.1</t>
  </si>
  <si>
    <t xml:space="preserve">40'</t>
  </si>
  <si>
    <t xml:space="preserve">TB.40.4</t>
  </si>
  <si>
    <t xml:space="preserve">4DR.ABL.16.1</t>
  </si>
  <si>
    <t xml:space="preserve">Ablution</t>
  </si>
  <si>
    <t xml:space="preserve">4 Door VIP</t>
  </si>
  <si>
    <t xml:space="preserve">16'</t>
  </si>
  <si>
    <t xml:space="preserve">4DR.ABL.16.2</t>
  </si>
  <si>
    <t xml:space="preserve">4DR.ABL.16.3</t>
  </si>
  <si>
    <t xml:space="preserve">4DR.ABL.20.2</t>
  </si>
  <si>
    <t xml:space="preserve">4 Door</t>
  </si>
  <si>
    <t xml:space="preserve">4DR.ABL.20.3</t>
  </si>
  <si>
    <t xml:space="preserve">ABL.F.20.11</t>
  </si>
  <si>
    <t xml:space="preserve">Female</t>
  </si>
  <si>
    <t xml:space="preserve">ABL.F.20.3</t>
  </si>
  <si>
    <t xml:space="preserve">ABL.F.20.4</t>
  </si>
  <si>
    <t xml:space="preserve">ABL.F.20.5</t>
  </si>
  <si>
    <t xml:space="preserve">ABL.F.20.6</t>
  </si>
  <si>
    <t xml:space="preserve">ABL.F.20.7</t>
  </si>
  <si>
    <t xml:space="preserve">ABL.M-F.20.12</t>
  </si>
  <si>
    <t xml:space="preserve">Mixed</t>
  </si>
  <si>
    <t xml:space="preserve">ABL.M-F.20.14</t>
  </si>
  <si>
    <t xml:space="preserve">Mixed VIP</t>
  </si>
  <si>
    <t xml:space="preserve">ABL.M-F.20.15</t>
  </si>
  <si>
    <t xml:space="preserve">ABL.M-F.20.18</t>
  </si>
  <si>
    <t xml:space="preserve">ABL.M-F.20.3</t>
  </si>
  <si>
    <t xml:space="preserve">ABL.M-F.20.4</t>
  </si>
  <si>
    <t xml:space="preserve">ABL.M-F.20.5</t>
  </si>
  <si>
    <t xml:space="preserve">ABL.M-F.20.6</t>
  </si>
  <si>
    <t xml:space="preserve">ABL.M-F.20.7</t>
  </si>
  <si>
    <t xml:space="preserve">ABL.M-F.20.8</t>
  </si>
  <si>
    <t xml:space="preserve">ABL.M-F.40.01</t>
  </si>
  <si>
    <t xml:space="preserve">Male</t>
  </si>
  <si>
    <t xml:space="preserve">ABL.M-F.40.2</t>
  </si>
  <si>
    <t xml:space="preserve">ABL.M-F.40.3</t>
  </si>
  <si>
    <t xml:space="preserve">ABL.M-F.40.4</t>
  </si>
  <si>
    <t xml:space="preserve">ABL.M-F.40.8</t>
  </si>
  <si>
    <t xml:space="preserve">ABL.M.20.10</t>
  </si>
  <si>
    <t xml:space="preserve">ABL.M.20.3</t>
  </si>
  <si>
    <t xml:space="preserve">ABL.M.20.6</t>
  </si>
  <si>
    <t xml:space="preserve">ABL.M.20.7</t>
  </si>
  <si>
    <t xml:space="preserve">ABL.M.20.8</t>
  </si>
  <si>
    <t xml:space="preserve">D.ABL.10.2</t>
  </si>
  <si>
    <t xml:space="preserve">POD</t>
  </si>
  <si>
    <t xml:space="preserve">D.ABL.10.3</t>
  </si>
  <si>
    <t xml:space="preserve">POD VIP</t>
  </si>
  <si>
    <t xml:space="preserve">D.ABL.10.5</t>
  </si>
  <si>
    <t xml:space="preserve">FLX.UR.005</t>
  </si>
  <si>
    <t xml:space="preserve">Flexiloo Gent Urinal</t>
  </si>
  <si>
    <t xml:space="preserve">Urinal</t>
  </si>
  <si>
    <t xml:space="preserve">FLX.UR.007</t>
  </si>
  <si>
    <t xml:space="preserve">FLX.UR.011</t>
  </si>
  <si>
    <t xml:space="preserve">FLX.UR.013</t>
  </si>
  <si>
    <t xml:space="preserve">FLX.UR.014</t>
  </si>
  <si>
    <t xml:space="preserve">FLX.UR.016</t>
  </si>
  <si>
    <t xml:space="preserve">FLX.UR.017</t>
  </si>
  <si>
    <t xml:space="preserve">FLX.UR.018</t>
  </si>
  <si>
    <t xml:space="preserve">F.P.O.20.1</t>
  </si>
  <si>
    <t xml:space="preserve">Containers</t>
  </si>
  <si>
    <t xml:space="preserve">Flatpack</t>
  </si>
  <si>
    <t xml:space="preserve">16' flatpack</t>
  </si>
  <si>
    <t xml:space="preserve">F.P.O.20.2</t>
  </si>
  <si>
    <t xml:space="preserve">F.P.O.20.3</t>
  </si>
  <si>
    <t xml:space="preserve">F.P.O.20.4</t>
  </si>
  <si>
    <t xml:space="preserve">F.P.O.20.5</t>
  </si>
  <si>
    <t xml:space="preserve">Disabled Portaloo</t>
  </si>
  <si>
    <t xml:space="preserve">PL.09</t>
  </si>
  <si>
    <t xml:space="preserve">PL.120</t>
  </si>
  <si>
    <t xml:space="preserve">PL.132</t>
  </si>
  <si>
    <t xml:space="preserve">PL.136</t>
  </si>
  <si>
    <t xml:space="preserve">PL.147</t>
  </si>
  <si>
    <t xml:space="preserve">PL.150</t>
  </si>
  <si>
    <t xml:space="preserve">PL.151</t>
  </si>
  <si>
    <t xml:space="preserve">PL.155</t>
  </si>
  <si>
    <t xml:space="preserve">PL.156</t>
  </si>
  <si>
    <t xml:space="preserve">PL.160</t>
  </si>
  <si>
    <t xml:space="preserve">PL.163</t>
  </si>
  <si>
    <t xml:space="preserve">PL.18</t>
  </si>
  <si>
    <t xml:space="preserve">PL.21</t>
  </si>
  <si>
    <t xml:space="preserve">PL.22</t>
  </si>
  <si>
    <t xml:space="preserve">PL.32</t>
  </si>
  <si>
    <t xml:space="preserve">PL.35</t>
  </si>
  <si>
    <t xml:space="preserve">PL.41</t>
  </si>
  <si>
    <t xml:space="preserve">PL.63</t>
  </si>
  <si>
    <t xml:space="preserve">PL.79</t>
  </si>
  <si>
    <t xml:space="preserve">PL.85</t>
  </si>
  <si>
    <t xml:space="preserve">PL.88</t>
  </si>
  <si>
    <t xml:space="preserve">Physically seen (Y/N)</t>
  </si>
  <si>
    <t xml:space="preserve">Sticker visible? (Y/N)</t>
  </si>
  <si>
    <t xml:space="preserve">Row/position after re-arrange</t>
  </si>
  <si>
    <t xml:space="preserve">Notes</t>
  </si>
  <si>
    <t xml:space="preserve">PL.100</t>
  </si>
  <si>
    <t xml:space="preserve">PL.101</t>
  </si>
  <si>
    <t xml:space="preserve">PL.102</t>
  </si>
  <si>
    <t xml:space="preserve">PL.105</t>
  </si>
  <si>
    <t xml:space="preserve">PL.106</t>
  </si>
  <si>
    <t xml:space="preserve">PL.108</t>
  </si>
  <si>
    <t xml:space="preserve">PL.109</t>
  </si>
  <si>
    <t xml:space="preserve">PL.11</t>
  </si>
  <si>
    <t xml:space="preserve">PL.110</t>
  </si>
  <si>
    <t xml:space="preserve">PL.112</t>
  </si>
  <si>
    <t xml:space="preserve">PL.113</t>
  </si>
  <si>
    <t xml:space="preserve">PL.115</t>
  </si>
  <si>
    <t xml:space="preserve">PL.117</t>
  </si>
  <si>
    <t xml:space="preserve">PL.118</t>
  </si>
  <si>
    <t xml:space="preserve">PL.121</t>
  </si>
  <si>
    <t xml:space="preserve">PL.124</t>
  </si>
  <si>
    <t xml:space="preserve">PL.128</t>
  </si>
  <si>
    <t xml:space="preserve">PL.129</t>
  </si>
  <si>
    <t xml:space="preserve">PL.13</t>
  </si>
  <si>
    <t xml:space="preserve">PL.133</t>
  </si>
  <si>
    <t xml:space="preserve">PL.134</t>
  </si>
  <si>
    <t xml:space="preserve">PL.138</t>
  </si>
  <si>
    <t xml:space="preserve">PL.139</t>
  </si>
  <si>
    <t xml:space="preserve">PL.14</t>
  </si>
  <si>
    <t xml:space="preserve">PL.140</t>
  </si>
  <si>
    <t xml:space="preserve">PL.143</t>
  </si>
  <si>
    <t xml:space="preserve">PL.144</t>
  </si>
  <si>
    <t xml:space="preserve">PL.148</t>
  </si>
  <si>
    <t xml:space="preserve">PL.149</t>
  </si>
  <si>
    <t xml:space="preserve">PL.152</t>
  </si>
  <si>
    <t xml:space="preserve">PL.153</t>
  </si>
  <si>
    <t xml:space="preserve">PL.154</t>
  </si>
  <si>
    <t xml:space="preserve">PL.158</t>
  </si>
  <si>
    <t xml:space="preserve">PL.159</t>
  </si>
  <si>
    <t xml:space="preserve">PL.16</t>
  </si>
  <si>
    <t xml:space="preserve">PL.165</t>
  </si>
  <si>
    <t xml:space="preserve">PL.167</t>
  </si>
  <si>
    <t xml:space="preserve">PL.168</t>
  </si>
  <si>
    <t xml:space="preserve">PL.169</t>
  </si>
  <si>
    <t xml:space="preserve">PL.19</t>
  </si>
  <si>
    <t xml:space="preserve">PL.20</t>
  </si>
  <si>
    <t xml:space="preserve">PL.23</t>
  </si>
  <si>
    <t xml:space="preserve">PL.25</t>
  </si>
  <si>
    <t xml:space="preserve">PL.26</t>
  </si>
  <si>
    <t xml:space="preserve">PL.27</t>
  </si>
  <si>
    <t xml:space="preserve">PL.28</t>
  </si>
  <si>
    <t xml:space="preserve">PL.29</t>
  </si>
  <si>
    <t xml:space="preserve">PL.33</t>
  </si>
  <si>
    <t xml:space="preserve">PL.34</t>
  </si>
  <si>
    <t xml:space="preserve">PL.38</t>
  </si>
  <si>
    <t xml:space="preserve">PL.44</t>
  </si>
  <si>
    <t xml:space="preserve">PL.60</t>
  </si>
  <si>
    <t xml:space="preserve">PL.62</t>
  </si>
  <si>
    <t xml:space="preserve">PL.65</t>
  </si>
  <si>
    <t xml:space="preserve">PL.66</t>
  </si>
  <si>
    <t xml:space="preserve">PL.67</t>
  </si>
  <si>
    <t xml:space="preserve">PL.69</t>
  </si>
  <si>
    <t xml:space="preserve">PL.70</t>
  </si>
  <si>
    <t xml:space="preserve">PL.72</t>
  </si>
  <si>
    <t xml:space="preserve">PL.78</t>
  </si>
  <si>
    <t xml:space="preserve">PL.80</t>
  </si>
  <si>
    <t xml:space="preserve">PL.81</t>
  </si>
  <si>
    <t xml:space="preserve">PL.82</t>
  </si>
  <si>
    <t xml:space="preserve">PL.83</t>
  </si>
  <si>
    <t xml:space="preserve">PL.87</t>
  </si>
  <si>
    <t xml:space="preserve">PL.91</t>
  </si>
  <si>
    <t xml:space="preserve">PL.92</t>
  </si>
  <si>
    <t xml:space="preserve">PL.93</t>
  </si>
  <si>
    <t xml:space="preserve">PL.94</t>
  </si>
  <si>
    <t xml:space="preserve">PL.96</t>
  </si>
  <si>
    <t xml:space="preserve">PL.97</t>
  </si>
  <si>
    <t xml:space="preserve">PL.98</t>
  </si>
  <si>
    <t xml:space="preserve">PL.99</t>
  </si>
  <si>
    <t xml:space="preserve">Register total (rows above)</t>
  </si>
  <si>
    <t xml:space="preserve">Physical: in yard</t>
  </si>
  <si>
    <t xml:space="preserve">Physical: at airport</t>
  </si>
  <si>
    <t xml:space="preserve">Physical total</t>
  </si>
  <si>
    <t xml:space="preserve">Variance vs register</t>
  </si>
  <si>
    <t xml:space="preserve">Check first: DA.PL.57 &amp; DA.PL.58 excluded from your "Total 106"</t>
  </si>
  <si>
    <t xml:space="preserve">YARD COUNT SHEET  -  Zone: ______   Counter: ______   Recorder: ______   Date: ______</t>
  </si>
  <si>
    <t xml:space="preserve">#</t>
  </si>
  <si>
    <t xml:space="preserve">Type (OPO.L / PL / ABL / FLX...)</t>
  </si>
  <si>
    <t xml:space="preserve">Plant no. on sticker (write EXACTLY, or NONE)</t>
  </si>
  <si>
    <t xml:space="preserve">Temp tag # applied</t>
  </si>
  <si>
    <t xml:space="preserve">Condition note</t>
  </si>
  <si>
    <t xml:space="preserve">Rule: write what you SEE. Do not look at the register while counting. No sticker = NONE + temp tag.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</si>
</sst>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CCFFFF"/>
      </patternFill>
    </fill>
    <fill>
      <patternFill patternType="solid">
        <fgColor rgb="FFF8CBAD"/>
        <bgColor rgb="FFFFF2CC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8"/>
    <col collapsed="false" customWidth="true" hidden="false" outlineLevel="0" max="4" min="2" style="1" width="12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/>
      <c r="B3" s="5"/>
    </row>
    <row r="4" customFormat="false" ht="15" hidden="false" customHeight="true" outlineLevel="0" collapsed="false">
      <c r="A4" s="6" t="s">
        <v>2</v>
      </c>
      <c r="B4" s="5"/>
    </row>
    <row r="5" customFormat="false" ht="15" hidden="false" customHeight="true" outlineLevel="0" collapsed="false">
      <c r="A5" s="4" t="s">
        <v>3</v>
      </c>
      <c r="B5" s="5" t="n">
        <f aca="false">COUNTA('OPO.L Recon'!A2:A204)</f>
        <v>203</v>
      </c>
    </row>
    <row r="6" customFormat="false" ht="15" hidden="false" customHeight="true" outlineLevel="0" collapsed="false">
      <c r="A6" s="4" t="s">
        <v>4</v>
      </c>
      <c r="B6" s="5" t="n">
        <f aca="false">COUNTIF('OPO.L Recon'!D2:D204,"Yes")</f>
        <v>89</v>
      </c>
    </row>
    <row r="7" customFormat="false" ht="15" hidden="false" customHeight="true" outlineLevel="0" collapsed="false">
      <c r="A7" s="4" t="s">
        <v>5</v>
      </c>
      <c r="B7" s="5" t="n">
        <v>115</v>
      </c>
    </row>
    <row r="8" customFormat="false" ht="15" hidden="false" customHeight="true" outlineLevel="0" collapsed="false">
      <c r="A8" s="4" t="s">
        <v>6</v>
      </c>
      <c r="B8" s="5" t="n">
        <f aca="false">COUNTIF('OPO.L Recon'!G2:G204,"In yard - confirmed (PDI done)")</f>
        <v>83</v>
      </c>
    </row>
    <row r="9" customFormat="false" ht="15" hidden="false" customHeight="true" outlineLevel="0" collapsed="false">
      <c r="A9" s="4" t="s">
        <v>7</v>
      </c>
      <c r="B9" s="5" t="n">
        <f aca="false">COUNTIF('OPO.L Recon'!G2:G204,"In yard per book - no PDI yet")</f>
        <v>1</v>
      </c>
    </row>
    <row r="10" customFormat="false" ht="15" hidden="false" customHeight="true" outlineLevel="0" collapsed="false">
      <c r="A10" s="4" t="s">
        <v>8</v>
      </c>
      <c r="B10" s="5" t="n">
        <f aca="false">COUNTIF('OPO.L Recon'!G2:G204,"SUSPECT - no location recorded")</f>
        <v>29</v>
      </c>
    </row>
    <row r="11" customFormat="false" ht="15" hidden="false" customHeight="true" outlineLevel="0" collapsed="false">
      <c r="A11" s="4" t="s">
        <v>9</v>
      </c>
      <c r="B11" s="5" t="n">
        <f aca="false">COUNTIF('OPO.L Recon'!G2:G204,"CONFLICT - book in-yard, note says off-site")</f>
        <v>5</v>
      </c>
    </row>
    <row r="12" customFormat="false" ht="15" hidden="false" customHeight="true" outlineLevel="0" collapsed="false">
      <c r="A12" s="4" t="s">
        <v>10</v>
      </c>
      <c r="B12" s="5" t="n">
        <f aca="false">COUNTIF('OPO.L Recon'!G2:G204,"Off-site*")</f>
        <v>85</v>
      </c>
    </row>
    <row r="13" customFormat="false" ht="15" hidden="false" customHeight="true" outlineLevel="0" collapsed="false">
      <c r="A13" s="7" t="s">
        <v>11</v>
      </c>
      <c r="B13" s="7"/>
      <c r="C13" s="7"/>
      <c r="D13" s="7"/>
    </row>
    <row r="14" customFormat="false" ht="15" hidden="false" customHeight="true" outlineLevel="0" collapsed="false">
      <c r="A14" s="4"/>
      <c r="B14" s="5"/>
    </row>
    <row r="15" customFormat="false" ht="15" hidden="false" customHeight="true" outlineLevel="0" collapsed="false">
      <c r="A15" s="6" t="s">
        <v>12</v>
      </c>
      <c r="B15" s="5"/>
    </row>
    <row r="16" customFormat="false" ht="15" hidden="false" customHeight="true" outlineLevel="0" collapsed="false">
      <c r="A16" s="4" t="s">
        <v>13</v>
      </c>
      <c r="B16" s="5" t="n">
        <f aca="false">697</f>
        <v>697</v>
      </c>
    </row>
    <row r="17" customFormat="false" ht="15" hidden="false" customHeight="true" outlineLevel="0" collapsed="false">
      <c r="A17" s="4" t="s">
        <v>14</v>
      </c>
      <c r="B17" s="5" t="n">
        <f aca="false">159</f>
        <v>159</v>
      </c>
    </row>
    <row r="18" customFormat="false" ht="15" hidden="false" customHeight="true" outlineLevel="0" collapsed="false">
      <c r="A18" s="4" t="s">
        <v>15</v>
      </c>
      <c r="B18" s="5" t="n">
        <f aca="false">COUNTA('PDI Backlog'!B2:B200)</f>
        <v>109</v>
      </c>
    </row>
    <row r="19" customFormat="false" ht="15" hidden="false" customHeight="true" outlineLevel="0" collapsed="false">
      <c r="A19" s="4" t="s">
        <v>16</v>
      </c>
      <c r="B19" s="5" t="n">
        <f aca="false">COUNTA('Verify First'!A2:A100)</f>
        <v>62</v>
      </c>
    </row>
    <row r="20" customFormat="false" ht="15" hidden="false" customHeight="true" outlineLevel="0" collapsed="false">
      <c r="A20" s="4"/>
      <c r="B20" s="5"/>
    </row>
    <row r="21" customFormat="false" ht="15" hidden="false" customHeight="true" outlineLevel="0" collapsed="false">
      <c r="A21" s="6" t="s">
        <v>17</v>
      </c>
      <c r="B21" s="5"/>
    </row>
    <row r="22" customFormat="false" ht="15" hidden="false" customHeight="true" outlineLevel="0" collapsed="false">
      <c r="A22" s="4" t="s">
        <v>18</v>
      </c>
      <c r="B22" s="5" t="n">
        <f aca="false">108</f>
        <v>108</v>
      </c>
    </row>
    <row r="23" customFormat="false" ht="15" hidden="false" customHeight="true" outlineLevel="0" collapsed="false">
      <c r="A23" s="4" t="s">
        <v>19</v>
      </c>
      <c r="B23" s="5" t="n">
        <v>106</v>
      </c>
    </row>
    <row r="24" customFormat="false" ht="15" hidden="false" customHeight="true" outlineLevel="0" collapsed="false">
      <c r="A24" s="4" t="s">
        <v>20</v>
      </c>
      <c r="B24" s="5" t="n">
        <v>108</v>
      </c>
    </row>
    <row r="25" customFormat="false" ht="15" hidden="false" customHeight="true" outlineLevel="0" collapsed="false">
      <c r="A25" s="7" t="s">
        <v>21</v>
      </c>
      <c r="B25" s="7"/>
      <c r="C25" s="7"/>
      <c r="D25" s="7"/>
    </row>
  </sheetData>
  <mergeCells count="2">
    <mergeCell ref="A13:D13"/>
    <mergeCell ref="A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8"/>
    <col collapsed="false" customWidth="true" hidden="false" outlineLevel="0" max="3" min="3" style="1" width="8"/>
    <col collapsed="false" customWidth="true" hidden="false" outlineLevel="0" max="4" min="4" style="1" width="12"/>
    <col collapsed="false" customWidth="true" hidden="false" outlineLevel="0" max="5" min="5" style="1" width="20"/>
    <col collapsed="false" customWidth="true" hidden="false" outlineLevel="0" max="6" min="6" style="1" width="12"/>
    <col collapsed="false" customWidth="true" hidden="false" outlineLevel="0" max="7" min="7" style="1" width="42"/>
    <col collapsed="false" customWidth="true" hidden="false" outlineLevel="0" max="8" min="8" style="1" width="30"/>
  </cols>
  <sheetData>
    <row r="1" customFormat="false" ht="23.25" hidden="false" customHeight="true" outlineLevel="0" collapsed="false">
      <c r="A1" s="8" t="s">
        <v>22</v>
      </c>
      <c r="B1" s="8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</row>
    <row r="2" customFormat="false" ht="15" hidden="false" customHeight="true" outlineLevel="0" collapsed="false">
      <c r="A2" s="9" t="s">
        <v>30</v>
      </c>
      <c r="B2" s="9" t="s">
        <v>31</v>
      </c>
      <c r="C2" s="9" t="s">
        <v>32</v>
      </c>
      <c r="D2" s="9" t="s">
        <v>33</v>
      </c>
      <c r="E2" s="9" t="s">
        <v>34</v>
      </c>
      <c r="F2" s="9" t="s">
        <v>33</v>
      </c>
      <c r="G2" s="9" t="s">
        <v>35</v>
      </c>
      <c r="H2" s="9" t="s">
        <v>36</v>
      </c>
    </row>
    <row r="3" customFormat="false" ht="15" hidden="false" customHeight="true" outlineLevel="0" collapsed="false">
      <c r="A3" s="9" t="s">
        <v>37</v>
      </c>
      <c r="B3" s="9" t="s">
        <v>31</v>
      </c>
      <c r="C3" s="9" t="s">
        <v>32</v>
      </c>
      <c r="D3" s="9" t="s">
        <v>33</v>
      </c>
      <c r="E3" s="9" t="s">
        <v>34</v>
      </c>
      <c r="F3" s="9" t="s">
        <v>33</v>
      </c>
      <c r="G3" s="9" t="s">
        <v>35</v>
      </c>
      <c r="H3" s="9" t="s">
        <v>36</v>
      </c>
    </row>
    <row r="4" customFormat="false" ht="15" hidden="false" customHeight="true" outlineLevel="0" collapsed="false">
      <c r="A4" s="9" t="s">
        <v>38</v>
      </c>
      <c r="B4" s="9" t="s">
        <v>31</v>
      </c>
      <c r="C4" s="9" t="s">
        <v>32</v>
      </c>
      <c r="D4" s="9" t="s">
        <v>33</v>
      </c>
      <c r="E4" s="9" t="s">
        <v>34</v>
      </c>
      <c r="F4" s="9" t="s">
        <v>39</v>
      </c>
      <c r="G4" s="9" t="s">
        <v>35</v>
      </c>
      <c r="H4" s="9" t="s">
        <v>36</v>
      </c>
    </row>
    <row r="5" customFormat="false" ht="15" hidden="false" customHeight="true" outlineLevel="0" collapsed="false">
      <c r="A5" s="9" t="s">
        <v>40</v>
      </c>
      <c r="B5" s="9" t="s">
        <v>31</v>
      </c>
      <c r="C5" s="9" t="s">
        <v>32</v>
      </c>
      <c r="D5" s="9" t="s">
        <v>33</v>
      </c>
      <c r="E5" s="9" t="s">
        <v>34</v>
      </c>
      <c r="F5" s="9" t="s">
        <v>39</v>
      </c>
      <c r="G5" s="9" t="s">
        <v>35</v>
      </c>
      <c r="H5" s="9" t="s">
        <v>36</v>
      </c>
    </row>
    <row r="6" customFormat="false" ht="15" hidden="false" customHeight="true" outlineLevel="0" collapsed="false">
      <c r="A6" s="9" t="s">
        <v>41</v>
      </c>
      <c r="B6" s="9" t="s">
        <v>31</v>
      </c>
      <c r="C6" s="9" t="s">
        <v>32</v>
      </c>
      <c r="D6" s="9" t="s">
        <v>33</v>
      </c>
      <c r="E6" s="9" t="s">
        <v>34</v>
      </c>
      <c r="F6" s="9" t="s">
        <v>39</v>
      </c>
      <c r="G6" s="9" t="s">
        <v>35</v>
      </c>
      <c r="H6" s="9" t="s">
        <v>36</v>
      </c>
    </row>
    <row r="7" customFormat="false" ht="15" hidden="false" customHeight="true" outlineLevel="0" collapsed="false">
      <c r="A7" s="9" t="s">
        <v>42</v>
      </c>
      <c r="B7" s="9" t="s">
        <v>31</v>
      </c>
      <c r="C7" s="9" t="s">
        <v>32</v>
      </c>
      <c r="D7" s="9" t="s">
        <v>33</v>
      </c>
      <c r="E7" s="9" t="s">
        <v>34</v>
      </c>
      <c r="F7" s="9" t="s">
        <v>33</v>
      </c>
      <c r="G7" s="9" t="s">
        <v>35</v>
      </c>
      <c r="H7" s="9" t="s">
        <v>36</v>
      </c>
    </row>
    <row r="8" customFormat="false" ht="15" hidden="false" customHeight="true" outlineLevel="0" collapsed="false">
      <c r="A8" s="9" t="s">
        <v>43</v>
      </c>
      <c r="B8" s="9" t="s">
        <v>31</v>
      </c>
      <c r="C8" s="9" t="s">
        <v>32</v>
      </c>
      <c r="D8" s="9" t="s">
        <v>33</v>
      </c>
      <c r="E8" s="9" t="s">
        <v>34</v>
      </c>
      <c r="F8" s="9" t="s">
        <v>33</v>
      </c>
      <c r="G8" s="9" t="s">
        <v>35</v>
      </c>
      <c r="H8" s="9" t="s">
        <v>36</v>
      </c>
    </row>
    <row r="9" customFormat="false" ht="15" hidden="false" customHeight="true" outlineLevel="0" collapsed="false">
      <c r="A9" s="9" t="s">
        <v>44</v>
      </c>
      <c r="B9" s="9" t="s">
        <v>31</v>
      </c>
      <c r="C9" s="9" t="s">
        <v>32</v>
      </c>
      <c r="D9" s="9" t="s">
        <v>33</v>
      </c>
      <c r="E9" s="9" t="s">
        <v>45</v>
      </c>
      <c r="F9" s="9" t="s">
        <v>39</v>
      </c>
      <c r="G9" s="9" t="s">
        <v>46</v>
      </c>
      <c r="H9" s="9" t="s">
        <v>36</v>
      </c>
    </row>
    <row r="10" customFormat="false" ht="15" hidden="false" customHeight="true" outlineLevel="0" collapsed="false">
      <c r="A10" s="10" t="s">
        <v>47</v>
      </c>
      <c r="B10" s="10" t="s">
        <v>31</v>
      </c>
      <c r="C10" s="10" t="s">
        <v>32</v>
      </c>
      <c r="D10" s="10" t="s">
        <v>39</v>
      </c>
      <c r="E10" s="10"/>
      <c r="F10" s="10" t="s">
        <v>39</v>
      </c>
      <c r="G10" s="10" t="s">
        <v>48</v>
      </c>
      <c r="H10" s="10" t="s">
        <v>49</v>
      </c>
    </row>
    <row r="11" customFormat="false" ht="15" hidden="false" customHeight="true" outlineLevel="0" collapsed="false">
      <c r="A11" s="10" t="s">
        <v>50</v>
      </c>
      <c r="B11" s="10" t="s">
        <v>31</v>
      </c>
      <c r="C11" s="10" t="s">
        <v>32</v>
      </c>
      <c r="D11" s="10" t="s">
        <v>39</v>
      </c>
      <c r="E11" s="10"/>
      <c r="F11" s="10" t="s">
        <v>39</v>
      </c>
      <c r="G11" s="10" t="s">
        <v>48</v>
      </c>
      <c r="H11" s="10" t="s">
        <v>49</v>
      </c>
    </row>
    <row r="12" customFormat="false" ht="15" hidden="false" customHeight="true" outlineLevel="0" collapsed="false">
      <c r="A12" s="10" t="s">
        <v>51</v>
      </c>
      <c r="B12" s="10" t="s">
        <v>31</v>
      </c>
      <c r="C12" s="10" t="s">
        <v>32</v>
      </c>
      <c r="D12" s="10" t="s">
        <v>39</v>
      </c>
      <c r="E12" s="10"/>
      <c r="F12" s="10" t="s">
        <v>39</v>
      </c>
      <c r="G12" s="10" t="s">
        <v>48</v>
      </c>
      <c r="H12" s="10" t="s">
        <v>49</v>
      </c>
    </row>
    <row r="13" customFormat="false" ht="15" hidden="false" customHeight="true" outlineLevel="0" collapsed="false">
      <c r="A13" s="11" t="s">
        <v>52</v>
      </c>
      <c r="B13" s="11" t="s">
        <v>31</v>
      </c>
      <c r="C13" s="11" t="s">
        <v>32</v>
      </c>
      <c r="D13" s="11" t="s">
        <v>33</v>
      </c>
      <c r="E13" s="11"/>
      <c r="F13" s="11" t="s">
        <v>33</v>
      </c>
      <c r="G13" s="11" t="s">
        <v>53</v>
      </c>
      <c r="H13" s="11" t="s">
        <v>54</v>
      </c>
    </row>
    <row r="14" customFormat="false" ht="15" hidden="false" customHeight="true" outlineLevel="0" collapsed="false">
      <c r="A14" s="10" t="s">
        <v>55</v>
      </c>
      <c r="B14" s="10" t="s">
        <v>56</v>
      </c>
      <c r="C14" s="10" t="s">
        <v>32</v>
      </c>
      <c r="D14" s="10" t="s">
        <v>39</v>
      </c>
      <c r="E14" s="10"/>
      <c r="F14" s="10" t="s">
        <v>39</v>
      </c>
      <c r="G14" s="10" t="s">
        <v>48</v>
      </c>
      <c r="H14" s="10" t="s">
        <v>49</v>
      </c>
    </row>
    <row r="15" customFormat="false" ht="15" hidden="false" customHeight="true" outlineLevel="0" collapsed="false">
      <c r="A15" s="10" t="s">
        <v>57</v>
      </c>
      <c r="B15" s="10" t="s">
        <v>56</v>
      </c>
      <c r="C15" s="10" t="s">
        <v>32</v>
      </c>
      <c r="D15" s="10" t="s">
        <v>39</v>
      </c>
      <c r="E15" s="10"/>
      <c r="F15" s="10" t="s">
        <v>39</v>
      </c>
      <c r="G15" s="10" t="s">
        <v>48</v>
      </c>
      <c r="H15" s="10" t="s">
        <v>49</v>
      </c>
    </row>
    <row r="16" customFormat="false" ht="15" hidden="false" customHeight="true" outlineLevel="0" collapsed="false">
      <c r="A16" s="10" t="s">
        <v>58</v>
      </c>
      <c r="B16" s="10" t="s">
        <v>31</v>
      </c>
      <c r="C16" s="10" t="s">
        <v>32</v>
      </c>
      <c r="D16" s="10" t="s">
        <v>39</v>
      </c>
      <c r="E16" s="10"/>
      <c r="F16" s="10" t="s">
        <v>39</v>
      </c>
      <c r="G16" s="10" t="s">
        <v>48</v>
      </c>
      <c r="H16" s="10" t="s">
        <v>49</v>
      </c>
    </row>
    <row r="17" customFormat="false" ht="15" hidden="false" customHeight="true" outlineLevel="0" collapsed="false">
      <c r="A17" s="9" t="s">
        <v>59</v>
      </c>
      <c r="B17" s="9" t="s">
        <v>31</v>
      </c>
      <c r="C17" s="9" t="s">
        <v>32</v>
      </c>
      <c r="D17" s="9" t="s">
        <v>33</v>
      </c>
      <c r="E17" s="9" t="s">
        <v>45</v>
      </c>
      <c r="F17" s="9" t="s">
        <v>33</v>
      </c>
      <c r="G17" s="9" t="s">
        <v>46</v>
      </c>
      <c r="H17" s="9" t="s">
        <v>36</v>
      </c>
    </row>
    <row r="18" customFormat="false" ht="15" hidden="false" customHeight="true" outlineLevel="0" collapsed="false">
      <c r="A18" s="9" t="s">
        <v>60</v>
      </c>
      <c r="B18" s="9" t="s">
        <v>31</v>
      </c>
      <c r="C18" s="9" t="s">
        <v>32</v>
      </c>
      <c r="D18" s="9" t="s">
        <v>33</v>
      </c>
      <c r="E18" s="9" t="s">
        <v>61</v>
      </c>
      <c r="F18" s="9" t="s">
        <v>39</v>
      </c>
      <c r="G18" s="9" t="s">
        <v>62</v>
      </c>
      <c r="H18" s="9" t="s">
        <v>36</v>
      </c>
    </row>
    <row r="19" customFormat="false" ht="15" hidden="false" customHeight="true" outlineLevel="0" collapsed="false">
      <c r="A19" s="10" t="s">
        <v>63</v>
      </c>
      <c r="B19" s="10" t="s">
        <v>31</v>
      </c>
      <c r="C19" s="10" t="s">
        <v>32</v>
      </c>
      <c r="D19" s="10" t="s">
        <v>39</v>
      </c>
      <c r="E19" s="10"/>
      <c r="F19" s="10" t="s">
        <v>39</v>
      </c>
      <c r="G19" s="10" t="s">
        <v>48</v>
      </c>
      <c r="H19" s="10" t="s">
        <v>49</v>
      </c>
    </row>
    <row r="20" customFormat="false" ht="15" hidden="false" customHeight="true" outlineLevel="0" collapsed="false">
      <c r="A20" s="9" t="s">
        <v>64</v>
      </c>
      <c r="B20" s="9" t="s">
        <v>31</v>
      </c>
      <c r="C20" s="9" t="s">
        <v>32</v>
      </c>
      <c r="D20" s="9" t="s">
        <v>33</v>
      </c>
      <c r="E20" s="9" t="s">
        <v>45</v>
      </c>
      <c r="F20" s="9" t="s">
        <v>33</v>
      </c>
      <c r="G20" s="9" t="s">
        <v>46</v>
      </c>
      <c r="H20" s="9" t="s">
        <v>36</v>
      </c>
    </row>
    <row r="21" customFormat="false" ht="15" hidden="false" customHeight="true" outlineLevel="0" collapsed="false">
      <c r="A21" s="9" t="s">
        <v>65</v>
      </c>
      <c r="B21" s="9" t="s">
        <v>31</v>
      </c>
      <c r="C21" s="9" t="s">
        <v>32</v>
      </c>
      <c r="D21" s="9" t="s">
        <v>33</v>
      </c>
      <c r="E21" s="9" t="s">
        <v>45</v>
      </c>
      <c r="F21" s="9" t="s">
        <v>33</v>
      </c>
      <c r="G21" s="9" t="s">
        <v>46</v>
      </c>
      <c r="H21" s="9" t="s">
        <v>36</v>
      </c>
    </row>
    <row r="22" customFormat="false" ht="15" hidden="false" customHeight="true" outlineLevel="0" collapsed="false">
      <c r="A22" s="9" t="s">
        <v>66</v>
      </c>
      <c r="B22" s="9" t="s">
        <v>31</v>
      </c>
      <c r="C22" s="9" t="s">
        <v>32</v>
      </c>
      <c r="D22" s="9" t="s">
        <v>33</v>
      </c>
      <c r="E22" s="9" t="s">
        <v>45</v>
      </c>
      <c r="F22" s="9" t="s">
        <v>33</v>
      </c>
      <c r="G22" s="9" t="s">
        <v>46</v>
      </c>
      <c r="H22" s="9" t="s">
        <v>36</v>
      </c>
    </row>
    <row r="23" customFormat="false" ht="15" hidden="false" customHeight="true" outlineLevel="0" collapsed="false">
      <c r="A23" s="9" t="s">
        <v>67</v>
      </c>
      <c r="B23" s="9" t="s">
        <v>31</v>
      </c>
      <c r="C23" s="9" t="s">
        <v>32</v>
      </c>
      <c r="D23" s="9" t="s">
        <v>33</v>
      </c>
      <c r="E23" s="9" t="s">
        <v>45</v>
      </c>
      <c r="F23" s="9" t="s">
        <v>33</v>
      </c>
      <c r="G23" s="9" t="s">
        <v>46</v>
      </c>
      <c r="H23" s="9" t="s">
        <v>36</v>
      </c>
    </row>
    <row r="24" customFormat="false" ht="15" hidden="false" customHeight="true" outlineLevel="0" collapsed="false">
      <c r="A24" s="10" t="s">
        <v>68</v>
      </c>
      <c r="B24" s="10" t="s">
        <v>31</v>
      </c>
      <c r="C24" s="10" t="s">
        <v>32</v>
      </c>
      <c r="D24" s="10" t="s">
        <v>39</v>
      </c>
      <c r="E24" s="10"/>
      <c r="F24" s="10" t="s">
        <v>39</v>
      </c>
      <c r="G24" s="10" t="s">
        <v>48</v>
      </c>
      <c r="H24" s="10" t="s">
        <v>49</v>
      </c>
    </row>
    <row r="25" customFormat="false" ht="15" hidden="false" customHeight="true" outlineLevel="0" collapsed="false">
      <c r="A25" s="11" t="s">
        <v>69</v>
      </c>
      <c r="B25" s="11" t="s">
        <v>31</v>
      </c>
      <c r="C25" s="11" t="s">
        <v>32</v>
      </c>
      <c r="D25" s="11" t="s">
        <v>33</v>
      </c>
      <c r="E25" s="11"/>
      <c r="F25" s="11" t="s">
        <v>33</v>
      </c>
      <c r="G25" s="11" t="s">
        <v>53</v>
      </c>
      <c r="H25" s="11" t="s">
        <v>54</v>
      </c>
    </row>
    <row r="26" customFormat="false" ht="15" hidden="false" customHeight="true" outlineLevel="0" collapsed="false">
      <c r="A26" s="11" t="s">
        <v>70</v>
      </c>
      <c r="B26" s="11" t="s">
        <v>31</v>
      </c>
      <c r="C26" s="11" t="s">
        <v>32</v>
      </c>
      <c r="D26" s="11" t="s">
        <v>33</v>
      </c>
      <c r="E26" s="11"/>
      <c r="F26" s="11" t="s">
        <v>33</v>
      </c>
      <c r="G26" s="11" t="s">
        <v>53</v>
      </c>
      <c r="H26" s="11" t="s">
        <v>54</v>
      </c>
    </row>
    <row r="27" customFormat="false" ht="15" hidden="false" customHeight="true" outlineLevel="0" collapsed="false">
      <c r="A27" s="10" t="s">
        <v>71</v>
      </c>
      <c r="B27" s="10" t="s">
        <v>31</v>
      </c>
      <c r="C27" s="10" t="s">
        <v>32</v>
      </c>
      <c r="D27" s="10" t="s">
        <v>39</v>
      </c>
      <c r="E27" s="10"/>
      <c r="F27" s="10" t="s">
        <v>39</v>
      </c>
      <c r="G27" s="10" t="s">
        <v>48</v>
      </c>
      <c r="H27" s="10" t="s">
        <v>49</v>
      </c>
    </row>
    <row r="28" customFormat="false" ht="15" hidden="false" customHeight="true" outlineLevel="0" collapsed="false">
      <c r="A28" s="10" t="s">
        <v>72</v>
      </c>
      <c r="B28" s="10" t="s">
        <v>31</v>
      </c>
      <c r="C28" s="10" t="s">
        <v>32</v>
      </c>
      <c r="D28" s="10" t="s">
        <v>39</v>
      </c>
      <c r="E28" s="10"/>
      <c r="F28" s="10" t="s">
        <v>39</v>
      </c>
      <c r="G28" s="10" t="s">
        <v>48</v>
      </c>
      <c r="H28" s="10" t="s">
        <v>49</v>
      </c>
    </row>
    <row r="29" customFormat="false" ht="15" hidden="false" customHeight="true" outlineLevel="0" collapsed="false">
      <c r="A29" s="11" t="s">
        <v>73</v>
      </c>
      <c r="B29" s="11" t="s">
        <v>31</v>
      </c>
      <c r="C29" s="11" t="s">
        <v>32</v>
      </c>
      <c r="D29" s="11" t="s">
        <v>33</v>
      </c>
      <c r="E29" s="11"/>
      <c r="F29" s="11" t="s">
        <v>33</v>
      </c>
      <c r="G29" s="11" t="s">
        <v>53</v>
      </c>
      <c r="H29" s="11" t="s">
        <v>54</v>
      </c>
    </row>
    <row r="30" customFormat="false" ht="15" hidden="false" customHeight="true" outlineLevel="0" collapsed="false">
      <c r="A30" s="10" t="s">
        <v>74</v>
      </c>
      <c r="B30" s="10" t="s">
        <v>31</v>
      </c>
      <c r="C30" s="10" t="s">
        <v>32</v>
      </c>
      <c r="D30" s="10" t="s">
        <v>39</v>
      </c>
      <c r="E30" s="10"/>
      <c r="F30" s="10" t="s">
        <v>39</v>
      </c>
      <c r="G30" s="10" t="s">
        <v>48</v>
      </c>
      <c r="H30" s="10" t="s">
        <v>49</v>
      </c>
    </row>
    <row r="31" customFormat="false" ht="15" hidden="false" customHeight="true" outlineLevel="0" collapsed="false">
      <c r="A31" s="10" t="s">
        <v>75</v>
      </c>
      <c r="B31" s="10" t="s">
        <v>31</v>
      </c>
      <c r="C31" s="10" t="s">
        <v>32</v>
      </c>
      <c r="D31" s="10" t="s">
        <v>39</v>
      </c>
      <c r="E31" s="10"/>
      <c r="F31" s="10" t="s">
        <v>39</v>
      </c>
      <c r="G31" s="10" t="s">
        <v>48</v>
      </c>
      <c r="H31" s="10" t="s">
        <v>49</v>
      </c>
    </row>
    <row r="32" customFormat="false" ht="15" hidden="false" customHeight="true" outlineLevel="0" collapsed="false">
      <c r="A32" s="11" t="s">
        <v>76</v>
      </c>
      <c r="B32" s="11" t="s">
        <v>31</v>
      </c>
      <c r="C32" s="11" t="s">
        <v>32</v>
      </c>
      <c r="D32" s="11" t="s">
        <v>39</v>
      </c>
      <c r="E32" s="11" t="s">
        <v>77</v>
      </c>
      <c r="F32" s="11" t="s">
        <v>39</v>
      </c>
      <c r="G32" s="11" t="s">
        <v>78</v>
      </c>
      <c r="H32" s="11" t="s">
        <v>54</v>
      </c>
    </row>
    <row r="33" customFormat="false" ht="15" hidden="false" customHeight="true" outlineLevel="0" collapsed="false">
      <c r="A33" s="11" t="s">
        <v>79</v>
      </c>
      <c r="B33" s="11" t="s">
        <v>31</v>
      </c>
      <c r="C33" s="11" t="s">
        <v>32</v>
      </c>
      <c r="D33" s="11" t="s">
        <v>39</v>
      </c>
      <c r="E33" s="11" t="s">
        <v>77</v>
      </c>
      <c r="F33" s="11" t="s">
        <v>39</v>
      </c>
      <c r="G33" s="11" t="s">
        <v>78</v>
      </c>
      <c r="H33" s="11" t="s">
        <v>54</v>
      </c>
    </row>
    <row r="34" customFormat="false" ht="15" hidden="false" customHeight="true" outlineLevel="0" collapsed="false">
      <c r="A34" s="11" t="s">
        <v>80</v>
      </c>
      <c r="B34" s="11" t="s">
        <v>31</v>
      </c>
      <c r="C34" s="11" t="s">
        <v>32</v>
      </c>
      <c r="D34" s="11" t="s">
        <v>39</v>
      </c>
      <c r="E34" s="11" t="s">
        <v>77</v>
      </c>
      <c r="F34" s="11" t="s">
        <v>39</v>
      </c>
      <c r="G34" s="11" t="s">
        <v>78</v>
      </c>
      <c r="H34" s="11" t="s">
        <v>54</v>
      </c>
    </row>
    <row r="35" customFormat="false" ht="15" hidden="false" customHeight="true" outlineLevel="0" collapsed="false">
      <c r="A35" s="10" t="s">
        <v>81</v>
      </c>
      <c r="B35" s="10" t="s">
        <v>31</v>
      </c>
      <c r="C35" s="10" t="s">
        <v>32</v>
      </c>
      <c r="D35" s="10" t="s">
        <v>39</v>
      </c>
      <c r="E35" s="10"/>
      <c r="F35" s="10" t="s">
        <v>39</v>
      </c>
      <c r="G35" s="10" t="s">
        <v>48</v>
      </c>
      <c r="H35" s="10" t="s">
        <v>49</v>
      </c>
    </row>
    <row r="36" customFormat="false" ht="15" hidden="false" customHeight="true" outlineLevel="0" collapsed="false">
      <c r="A36" s="11" t="s">
        <v>82</v>
      </c>
      <c r="B36" s="11" t="s">
        <v>31</v>
      </c>
      <c r="C36" s="11" t="s">
        <v>32</v>
      </c>
      <c r="D36" s="11" t="s">
        <v>33</v>
      </c>
      <c r="E36" s="11"/>
      <c r="F36" s="11" t="s">
        <v>33</v>
      </c>
      <c r="G36" s="11" t="s">
        <v>53</v>
      </c>
      <c r="H36" s="11" t="s">
        <v>54</v>
      </c>
    </row>
    <row r="37" customFormat="false" ht="15" hidden="false" customHeight="true" outlineLevel="0" collapsed="false">
      <c r="A37" s="9" t="s">
        <v>83</v>
      </c>
      <c r="B37" s="9" t="s">
        <v>31</v>
      </c>
      <c r="C37" s="9" t="s">
        <v>32</v>
      </c>
      <c r="D37" s="9" t="s">
        <v>33</v>
      </c>
      <c r="E37" s="9" t="s">
        <v>77</v>
      </c>
      <c r="F37" s="9" t="s">
        <v>39</v>
      </c>
      <c r="G37" s="9" t="s">
        <v>84</v>
      </c>
      <c r="H37" s="9" t="s">
        <v>36</v>
      </c>
    </row>
    <row r="38" customFormat="false" ht="15" hidden="false" customHeight="true" outlineLevel="0" collapsed="false">
      <c r="A38" s="10" t="s">
        <v>85</v>
      </c>
      <c r="B38" s="10" t="s">
        <v>31</v>
      </c>
      <c r="C38" s="10" t="s">
        <v>32</v>
      </c>
      <c r="D38" s="10" t="s">
        <v>39</v>
      </c>
      <c r="E38" s="10"/>
      <c r="F38" s="10" t="s">
        <v>39</v>
      </c>
      <c r="G38" s="10" t="s">
        <v>48</v>
      </c>
      <c r="H38" s="10" t="s">
        <v>49</v>
      </c>
    </row>
    <row r="39" customFormat="false" ht="15" hidden="false" customHeight="true" outlineLevel="0" collapsed="false">
      <c r="A39" s="10" t="s">
        <v>86</v>
      </c>
      <c r="B39" s="10" t="s">
        <v>31</v>
      </c>
      <c r="C39" s="10" t="s">
        <v>32</v>
      </c>
      <c r="D39" s="10" t="s">
        <v>39</v>
      </c>
      <c r="E39" s="10"/>
      <c r="F39" s="10" t="s">
        <v>39</v>
      </c>
      <c r="G39" s="10" t="s">
        <v>48</v>
      </c>
      <c r="H39" s="10" t="s">
        <v>49</v>
      </c>
    </row>
    <row r="40" customFormat="false" ht="15" hidden="false" customHeight="true" outlineLevel="0" collapsed="false">
      <c r="A40" s="11" t="s">
        <v>87</v>
      </c>
      <c r="B40" s="11" t="s">
        <v>31</v>
      </c>
      <c r="C40" s="11" t="s">
        <v>32</v>
      </c>
      <c r="D40" s="11" t="s">
        <v>33</v>
      </c>
      <c r="E40" s="11"/>
      <c r="F40" s="11" t="s">
        <v>33</v>
      </c>
      <c r="G40" s="11" t="s">
        <v>53</v>
      </c>
      <c r="H40" s="11" t="s">
        <v>54</v>
      </c>
    </row>
    <row r="41" customFormat="false" ht="15" hidden="false" customHeight="true" outlineLevel="0" collapsed="false">
      <c r="A41" s="9" t="s">
        <v>88</v>
      </c>
      <c r="B41" s="9" t="s">
        <v>31</v>
      </c>
      <c r="C41" s="9" t="s">
        <v>32</v>
      </c>
      <c r="D41" s="9" t="s">
        <v>33</v>
      </c>
      <c r="E41" s="9" t="s">
        <v>89</v>
      </c>
      <c r="F41" s="9" t="s">
        <v>33</v>
      </c>
      <c r="G41" s="9" t="s">
        <v>90</v>
      </c>
      <c r="H41" s="9" t="s">
        <v>36</v>
      </c>
    </row>
    <row r="42" customFormat="false" ht="15" hidden="false" customHeight="true" outlineLevel="0" collapsed="false">
      <c r="A42" s="9" t="s">
        <v>91</v>
      </c>
      <c r="B42" s="9" t="s">
        <v>31</v>
      </c>
      <c r="C42" s="9" t="s">
        <v>32</v>
      </c>
      <c r="D42" s="9" t="s">
        <v>33</v>
      </c>
      <c r="E42" s="9" t="s">
        <v>89</v>
      </c>
      <c r="F42" s="9" t="s">
        <v>33</v>
      </c>
      <c r="G42" s="9" t="s">
        <v>90</v>
      </c>
      <c r="H42" s="9" t="s">
        <v>36</v>
      </c>
    </row>
    <row r="43" customFormat="false" ht="15" hidden="false" customHeight="true" outlineLevel="0" collapsed="false">
      <c r="A43" s="9" t="s">
        <v>92</v>
      </c>
      <c r="B43" s="9" t="s">
        <v>31</v>
      </c>
      <c r="C43" s="9" t="s">
        <v>32</v>
      </c>
      <c r="D43" s="9" t="s">
        <v>33</v>
      </c>
      <c r="E43" s="9" t="s">
        <v>89</v>
      </c>
      <c r="F43" s="9" t="s">
        <v>33</v>
      </c>
      <c r="G43" s="9" t="s">
        <v>90</v>
      </c>
      <c r="H43" s="9" t="s">
        <v>36</v>
      </c>
    </row>
    <row r="44" customFormat="false" ht="15" hidden="false" customHeight="true" outlineLevel="0" collapsed="false">
      <c r="A44" s="9" t="s">
        <v>93</v>
      </c>
      <c r="B44" s="9" t="s">
        <v>31</v>
      </c>
      <c r="C44" s="9" t="s">
        <v>32</v>
      </c>
      <c r="D44" s="9" t="s">
        <v>33</v>
      </c>
      <c r="E44" s="9" t="s">
        <v>89</v>
      </c>
      <c r="F44" s="9" t="s">
        <v>33</v>
      </c>
      <c r="G44" s="9" t="s">
        <v>90</v>
      </c>
      <c r="H44" s="9" t="s">
        <v>36</v>
      </c>
    </row>
    <row r="45" customFormat="false" ht="15" hidden="false" customHeight="true" outlineLevel="0" collapsed="false">
      <c r="A45" s="9" t="s">
        <v>94</v>
      </c>
      <c r="B45" s="9" t="s">
        <v>31</v>
      </c>
      <c r="C45" s="9" t="s">
        <v>32</v>
      </c>
      <c r="D45" s="9" t="s">
        <v>33</v>
      </c>
      <c r="E45" s="9" t="s">
        <v>89</v>
      </c>
      <c r="F45" s="9" t="s">
        <v>33</v>
      </c>
      <c r="G45" s="9" t="s">
        <v>90</v>
      </c>
      <c r="H45" s="9" t="s">
        <v>36</v>
      </c>
    </row>
    <row r="46" customFormat="false" ht="15" hidden="false" customHeight="true" outlineLevel="0" collapsed="false">
      <c r="A46" s="10" t="s">
        <v>95</v>
      </c>
      <c r="B46" s="10" t="s">
        <v>31</v>
      </c>
      <c r="C46" s="10" t="s">
        <v>32</v>
      </c>
      <c r="D46" s="10" t="s">
        <v>39</v>
      </c>
      <c r="E46" s="10"/>
      <c r="F46" s="10" t="s">
        <v>39</v>
      </c>
      <c r="G46" s="10" t="s">
        <v>48</v>
      </c>
      <c r="H46" s="10" t="s">
        <v>49</v>
      </c>
    </row>
    <row r="47" customFormat="false" ht="15" hidden="false" customHeight="true" outlineLevel="0" collapsed="false">
      <c r="A47" s="9" t="s">
        <v>96</v>
      </c>
      <c r="B47" s="9" t="s">
        <v>31</v>
      </c>
      <c r="C47" s="9" t="s">
        <v>32</v>
      </c>
      <c r="D47" s="9" t="s">
        <v>33</v>
      </c>
      <c r="E47" s="9" t="s">
        <v>77</v>
      </c>
      <c r="F47" s="9" t="s">
        <v>39</v>
      </c>
      <c r="G47" s="9" t="s">
        <v>84</v>
      </c>
      <c r="H47" s="9" t="s">
        <v>36</v>
      </c>
    </row>
    <row r="48" customFormat="false" ht="15" hidden="false" customHeight="true" outlineLevel="0" collapsed="false">
      <c r="A48" s="10" t="s">
        <v>97</v>
      </c>
      <c r="B48" s="10" t="s">
        <v>31</v>
      </c>
      <c r="C48" s="10" t="s">
        <v>32</v>
      </c>
      <c r="D48" s="10" t="s">
        <v>39</v>
      </c>
      <c r="E48" s="10"/>
      <c r="F48" s="10" t="s">
        <v>39</v>
      </c>
      <c r="G48" s="10" t="s">
        <v>48</v>
      </c>
      <c r="H48" s="10" t="s">
        <v>49</v>
      </c>
    </row>
    <row r="49" customFormat="false" ht="15" hidden="false" customHeight="true" outlineLevel="0" collapsed="false">
      <c r="A49" s="9" t="s">
        <v>98</v>
      </c>
      <c r="B49" s="9" t="s">
        <v>31</v>
      </c>
      <c r="C49" s="9" t="s">
        <v>32</v>
      </c>
      <c r="D49" s="9" t="s">
        <v>33</v>
      </c>
      <c r="E49" s="9" t="s">
        <v>77</v>
      </c>
      <c r="F49" s="9" t="s">
        <v>39</v>
      </c>
      <c r="G49" s="9" t="s">
        <v>84</v>
      </c>
      <c r="H49" s="9" t="s">
        <v>36</v>
      </c>
    </row>
    <row r="50" customFormat="false" ht="15" hidden="false" customHeight="true" outlineLevel="0" collapsed="false">
      <c r="A50" s="10" t="s">
        <v>99</v>
      </c>
      <c r="B50" s="10" t="s">
        <v>31</v>
      </c>
      <c r="C50" s="10" t="s">
        <v>32</v>
      </c>
      <c r="D50" s="10" t="s">
        <v>39</v>
      </c>
      <c r="E50" s="10"/>
      <c r="F50" s="10" t="s">
        <v>39</v>
      </c>
      <c r="G50" s="10" t="s">
        <v>48</v>
      </c>
      <c r="H50" s="10" t="s">
        <v>49</v>
      </c>
    </row>
    <row r="51" customFormat="false" ht="15" hidden="false" customHeight="true" outlineLevel="0" collapsed="false">
      <c r="A51" s="9" t="s">
        <v>100</v>
      </c>
      <c r="B51" s="9" t="s">
        <v>31</v>
      </c>
      <c r="C51" s="9" t="s">
        <v>32</v>
      </c>
      <c r="D51" s="9" t="s">
        <v>33</v>
      </c>
      <c r="E51" s="9" t="s">
        <v>89</v>
      </c>
      <c r="F51" s="9" t="s">
        <v>33</v>
      </c>
      <c r="G51" s="9" t="s">
        <v>90</v>
      </c>
      <c r="H51" s="9" t="s">
        <v>36</v>
      </c>
    </row>
    <row r="52" customFormat="false" ht="15" hidden="false" customHeight="true" outlineLevel="0" collapsed="false">
      <c r="A52" s="9" t="s">
        <v>101</v>
      </c>
      <c r="B52" s="9" t="s">
        <v>31</v>
      </c>
      <c r="C52" s="9" t="s">
        <v>32</v>
      </c>
      <c r="D52" s="9" t="s">
        <v>33</v>
      </c>
      <c r="E52" s="9" t="s">
        <v>89</v>
      </c>
      <c r="F52" s="9" t="s">
        <v>33</v>
      </c>
      <c r="G52" s="9" t="s">
        <v>90</v>
      </c>
      <c r="H52" s="9" t="s">
        <v>36</v>
      </c>
    </row>
    <row r="53" customFormat="false" ht="15" hidden="false" customHeight="true" outlineLevel="0" collapsed="false">
      <c r="A53" s="9" t="s">
        <v>102</v>
      </c>
      <c r="B53" s="9" t="s">
        <v>31</v>
      </c>
      <c r="C53" s="9" t="s">
        <v>32</v>
      </c>
      <c r="D53" s="9" t="s">
        <v>33</v>
      </c>
      <c r="E53" s="9" t="s">
        <v>89</v>
      </c>
      <c r="F53" s="9" t="s">
        <v>33</v>
      </c>
      <c r="G53" s="9" t="s">
        <v>90</v>
      </c>
      <c r="H53" s="9" t="s">
        <v>36</v>
      </c>
    </row>
    <row r="54" customFormat="false" ht="15" hidden="false" customHeight="true" outlineLevel="0" collapsed="false">
      <c r="A54" s="9" t="s">
        <v>103</v>
      </c>
      <c r="B54" s="9" t="s">
        <v>31</v>
      </c>
      <c r="C54" s="9" t="s">
        <v>32</v>
      </c>
      <c r="D54" s="9" t="s">
        <v>33</v>
      </c>
      <c r="E54" s="9" t="s">
        <v>89</v>
      </c>
      <c r="F54" s="9" t="s">
        <v>33</v>
      </c>
      <c r="G54" s="9" t="s">
        <v>90</v>
      </c>
      <c r="H54" s="9" t="s">
        <v>36</v>
      </c>
    </row>
    <row r="55" customFormat="false" ht="15" hidden="false" customHeight="true" outlineLevel="0" collapsed="false">
      <c r="A55" s="9" t="s">
        <v>104</v>
      </c>
      <c r="B55" s="9" t="s">
        <v>31</v>
      </c>
      <c r="C55" s="9" t="s">
        <v>32</v>
      </c>
      <c r="D55" s="9" t="s">
        <v>33</v>
      </c>
      <c r="E55" s="9" t="s">
        <v>89</v>
      </c>
      <c r="F55" s="9" t="s">
        <v>33</v>
      </c>
      <c r="G55" s="9" t="s">
        <v>90</v>
      </c>
      <c r="H55" s="9" t="s">
        <v>36</v>
      </c>
    </row>
    <row r="56" customFormat="false" ht="15" hidden="false" customHeight="true" outlineLevel="0" collapsed="false">
      <c r="A56" s="9" t="s">
        <v>105</v>
      </c>
      <c r="B56" s="9" t="s">
        <v>31</v>
      </c>
      <c r="C56" s="9" t="s">
        <v>32</v>
      </c>
      <c r="D56" s="9" t="s">
        <v>33</v>
      </c>
      <c r="E56" s="9" t="s">
        <v>89</v>
      </c>
      <c r="F56" s="9" t="s">
        <v>33</v>
      </c>
      <c r="G56" s="9" t="s">
        <v>90</v>
      </c>
      <c r="H56" s="9" t="s">
        <v>36</v>
      </c>
    </row>
    <row r="57" customFormat="false" ht="15" hidden="false" customHeight="true" outlineLevel="0" collapsed="false">
      <c r="A57" s="9" t="s">
        <v>106</v>
      </c>
      <c r="B57" s="9" t="s">
        <v>31</v>
      </c>
      <c r="C57" s="9" t="s">
        <v>32</v>
      </c>
      <c r="D57" s="9" t="s">
        <v>33</v>
      </c>
      <c r="E57" s="9" t="s">
        <v>89</v>
      </c>
      <c r="F57" s="9" t="s">
        <v>33</v>
      </c>
      <c r="G57" s="9" t="s">
        <v>90</v>
      </c>
      <c r="H57" s="9" t="s">
        <v>36</v>
      </c>
    </row>
    <row r="58" customFormat="false" ht="15" hidden="false" customHeight="true" outlineLevel="0" collapsed="false">
      <c r="A58" s="9" t="s">
        <v>107</v>
      </c>
      <c r="B58" s="9" t="s">
        <v>31</v>
      </c>
      <c r="C58" s="9" t="s">
        <v>32</v>
      </c>
      <c r="D58" s="9" t="s">
        <v>33</v>
      </c>
      <c r="E58" s="9" t="s">
        <v>89</v>
      </c>
      <c r="F58" s="9" t="s">
        <v>33</v>
      </c>
      <c r="G58" s="9" t="s">
        <v>90</v>
      </c>
      <c r="H58" s="9" t="s">
        <v>36</v>
      </c>
    </row>
    <row r="59" customFormat="false" ht="15" hidden="false" customHeight="true" outlineLevel="0" collapsed="false">
      <c r="A59" s="9" t="s">
        <v>108</v>
      </c>
      <c r="B59" s="9" t="s">
        <v>31</v>
      </c>
      <c r="C59" s="9" t="s">
        <v>32</v>
      </c>
      <c r="D59" s="9" t="s">
        <v>33</v>
      </c>
      <c r="E59" s="9" t="s">
        <v>89</v>
      </c>
      <c r="F59" s="9" t="s">
        <v>33</v>
      </c>
      <c r="G59" s="9" t="s">
        <v>90</v>
      </c>
      <c r="H59" s="9" t="s">
        <v>36</v>
      </c>
    </row>
    <row r="60" customFormat="false" ht="15" hidden="false" customHeight="true" outlineLevel="0" collapsed="false">
      <c r="A60" s="9" t="s">
        <v>109</v>
      </c>
      <c r="B60" s="9" t="s">
        <v>31</v>
      </c>
      <c r="C60" s="9" t="s">
        <v>32</v>
      </c>
      <c r="D60" s="9" t="s">
        <v>33</v>
      </c>
      <c r="E60" s="9" t="s">
        <v>89</v>
      </c>
      <c r="F60" s="9" t="s">
        <v>33</v>
      </c>
      <c r="G60" s="9" t="s">
        <v>90</v>
      </c>
      <c r="H60" s="9" t="s">
        <v>36</v>
      </c>
    </row>
    <row r="61" customFormat="false" ht="15" hidden="false" customHeight="true" outlineLevel="0" collapsed="false">
      <c r="A61" s="9" t="s">
        <v>110</v>
      </c>
      <c r="B61" s="9" t="s">
        <v>31</v>
      </c>
      <c r="C61" s="9" t="s">
        <v>32</v>
      </c>
      <c r="D61" s="9" t="s">
        <v>33</v>
      </c>
      <c r="E61" s="9" t="s">
        <v>89</v>
      </c>
      <c r="F61" s="9" t="s">
        <v>33</v>
      </c>
      <c r="G61" s="9" t="s">
        <v>90</v>
      </c>
      <c r="H61" s="9" t="s">
        <v>36</v>
      </c>
    </row>
    <row r="62" customFormat="false" ht="15" hidden="false" customHeight="true" outlineLevel="0" collapsed="false">
      <c r="A62" s="9" t="s">
        <v>111</v>
      </c>
      <c r="B62" s="9" t="s">
        <v>31</v>
      </c>
      <c r="C62" s="9" t="s">
        <v>32</v>
      </c>
      <c r="D62" s="9" t="s">
        <v>33</v>
      </c>
      <c r="E62" s="9" t="s">
        <v>89</v>
      </c>
      <c r="F62" s="9" t="s">
        <v>33</v>
      </c>
      <c r="G62" s="9" t="s">
        <v>90</v>
      </c>
      <c r="H62" s="9" t="s">
        <v>36</v>
      </c>
    </row>
    <row r="63" customFormat="false" ht="15" hidden="false" customHeight="true" outlineLevel="0" collapsed="false">
      <c r="A63" s="9" t="s">
        <v>112</v>
      </c>
      <c r="B63" s="9" t="s">
        <v>31</v>
      </c>
      <c r="C63" s="9" t="s">
        <v>32</v>
      </c>
      <c r="D63" s="9" t="s">
        <v>33</v>
      </c>
      <c r="E63" s="9" t="s">
        <v>89</v>
      </c>
      <c r="F63" s="9" t="s">
        <v>33</v>
      </c>
      <c r="G63" s="9" t="s">
        <v>90</v>
      </c>
      <c r="H63" s="9" t="s">
        <v>36</v>
      </c>
    </row>
    <row r="64" customFormat="false" ht="15" hidden="false" customHeight="true" outlineLevel="0" collapsed="false">
      <c r="A64" s="9" t="s">
        <v>113</v>
      </c>
      <c r="B64" s="9" t="s">
        <v>31</v>
      </c>
      <c r="C64" s="9" t="s">
        <v>32</v>
      </c>
      <c r="D64" s="9" t="s">
        <v>33</v>
      </c>
      <c r="E64" s="9" t="s">
        <v>89</v>
      </c>
      <c r="F64" s="9" t="s">
        <v>33</v>
      </c>
      <c r="G64" s="9" t="s">
        <v>90</v>
      </c>
      <c r="H64" s="9" t="s">
        <v>36</v>
      </c>
    </row>
    <row r="65" customFormat="false" ht="15" hidden="false" customHeight="true" outlineLevel="0" collapsed="false">
      <c r="A65" s="9" t="s">
        <v>114</v>
      </c>
      <c r="B65" s="9" t="s">
        <v>31</v>
      </c>
      <c r="C65" s="9" t="s">
        <v>32</v>
      </c>
      <c r="D65" s="9" t="s">
        <v>33</v>
      </c>
      <c r="E65" s="9" t="s">
        <v>89</v>
      </c>
      <c r="F65" s="9" t="s">
        <v>33</v>
      </c>
      <c r="G65" s="9" t="s">
        <v>90</v>
      </c>
      <c r="H65" s="9" t="s">
        <v>36</v>
      </c>
    </row>
    <row r="66" customFormat="false" ht="15" hidden="false" customHeight="true" outlineLevel="0" collapsed="false">
      <c r="A66" s="9" t="s">
        <v>115</v>
      </c>
      <c r="B66" s="9" t="s">
        <v>31</v>
      </c>
      <c r="C66" s="9" t="s">
        <v>32</v>
      </c>
      <c r="D66" s="9" t="s">
        <v>33</v>
      </c>
      <c r="E66" s="9" t="s">
        <v>89</v>
      </c>
      <c r="F66" s="9" t="s">
        <v>33</v>
      </c>
      <c r="G66" s="9" t="s">
        <v>90</v>
      </c>
      <c r="H66" s="9" t="s">
        <v>36</v>
      </c>
    </row>
    <row r="67" customFormat="false" ht="15" hidden="false" customHeight="true" outlineLevel="0" collapsed="false">
      <c r="A67" s="9" t="s">
        <v>116</v>
      </c>
      <c r="B67" s="9" t="s">
        <v>31</v>
      </c>
      <c r="C67" s="9" t="s">
        <v>32</v>
      </c>
      <c r="D67" s="9" t="s">
        <v>33</v>
      </c>
      <c r="E67" s="9" t="s">
        <v>89</v>
      </c>
      <c r="F67" s="9" t="s">
        <v>33</v>
      </c>
      <c r="G67" s="9" t="s">
        <v>90</v>
      </c>
      <c r="H67" s="9" t="s">
        <v>36</v>
      </c>
    </row>
    <row r="68" customFormat="false" ht="15" hidden="false" customHeight="true" outlineLevel="0" collapsed="false">
      <c r="A68" s="9" t="s">
        <v>117</v>
      </c>
      <c r="B68" s="9" t="s">
        <v>31</v>
      </c>
      <c r="C68" s="9" t="s">
        <v>32</v>
      </c>
      <c r="D68" s="9" t="s">
        <v>33</v>
      </c>
      <c r="E68" s="9" t="s">
        <v>89</v>
      </c>
      <c r="F68" s="9" t="s">
        <v>33</v>
      </c>
      <c r="G68" s="9" t="s">
        <v>90</v>
      </c>
      <c r="H68" s="9" t="s">
        <v>36</v>
      </c>
    </row>
    <row r="69" customFormat="false" ht="15" hidden="false" customHeight="true" outlineLevel="0" collapsed="false">
      <c r="A69" s="9" t="s">
        <v>118</v>
      </c>
      <c r="B69" s="9" t="s">
        <v>31</v>
      </c>
      <c r="C69" s="9" t="s">
        <v>32</v>
      </c>
      <c r="D69" s="9" t="s">
        <v>33</v>
      </c>
      <c r="E69" s="9" t="s">
        <v>89</v>
      </c>
      <c r="F69" s="9" t="s">
        <v>33</v>
      </c>
      <c r="G69" s="9" t="s">
        <v>90</v>
      </c>
      <c r="H69" s="9" t="s">
        <v>36</v>
      </c>
    </row>
    <row r="70" customFormat="false" ht="15" hidden="false" customHeight="true" outlineLevel="0" collapsed="false">
      <c r="A70" s="9" t="s">
        <v>119</v>
      </c>
      <c r="B70" s="9" t="s">
        <v>31</v>
      </c>
      <c r="C70" s="9" t="s">
        <v>32</v>
      </c>
      <c r="D70" s="9" t="s">
        <v>33</v>
      </c>
      <c r="E70" s="9" t="s">
        <v>89</v>
      </c>
      <c r="F70" s="9" t="s">
        <v>33</v>
      </c>
      <c r="G70" s="9" t="s">
        <v>90</v>
      </c>
      <c r="H70" s="9" t="s">
        <v>36</v>
      </c>
    </row>
    <row r="71" customFormat="false" ht="15" hidden="false" customHeight="true" outlineLevel="0" collapsed="false">
      <c r="A71" s="9" t="s">
        <v>120</v>
      </c>
      <c r="B71" s="9" t="s">
        <v>31</v>
      </c>
      <c r="C71" s="9" t="s">
        <v>32</v>
      </c>
      <c r="D71" s="9" t="s">
        <v>33</v>
      </c>
      <c r="E71" s="9" t="s">
        <v>89</v>
      </c>
      <c r="F71" s="9" t="s">
        <v>33</v>
      </c>
      <c r="G71" s="9" t="s">
        <v>90</v>
      </c>
      <c r="H71" s="9" t="s">
        <v>36</v>
      </c>
    </row>
    <row r="72" customFormat="false" ht="15" hidden="false" customHeight="true" outlineLevel="0" collapsed="false">
      <c r="A72" s="9" t="s">
        <v>121</v>
      </c>
      <c r="B72" s="9" t="s">
        <v>31</v>
      </c>
      <c r="C72" s="9" t="s">
        <v>32</v>
      </c>
      <c r="D72" s="9" t="s">
        <v>33</v>
      </c>
      <c r="E72" s="9" t="s">
        <v>89</v>
      </c>
      <c r="F72" s="9" t="s">
        <v>33</v>
      </c>
      <c r="G72" s="9" t="s">
        <v>90</v>
      </c>
      <c r="H72" s="9" t="s">
        <v>36</v>
      </c>
    </row>
    <row r="73" customFormat="false" ht="15" hidden="false" customHeight="true" outlineLevel="0" collapsed="false">
      <c r="A73" s="9" t="s">
        <v>122</v>
      </c>
      <c r="B73" s="9" t="s">
        <v>31</v>
      </c>
      <c r="C73" s="9" t="s">
        <v>32</v>
      </c>
      <c r="D73" s="9" t="s">
        <v>33</v>
      </c>
      <c r="E73" s="9" t="s">
        <v>89</v>
      </c>
      <c r="F73" s="9" t="s">
        <v>33</v>
      </c>
      <c r="G73" s="9" t="s">
        <v>90</v>
      </c>
      <c r="H73" s="9" t="s">
        <v>36</v>
      </c>
    </row>
    <row r="74" customFormat="false" ht="15" hidden="false" customHeight="true" outlineLevel="0" collapsed="false">
      <c r="A74" s="9" t="s">
        <v>123</v>
      </c>
      <c r="B74" s="9" t="s">
        <v>31</v>
      </c>
      <c r="C74" s="9" t="s">
        <v>32</v>
      </c>
      <c r="D74" s="9" t="s">
        <v>33</v>
      </c>
      <c r="E74" s="9" t="s">
        <v>89</v>
      </c>
      <c r="F74" s="9" t="s">
        <v>33</v>
      </c>
      <c r="G74" s="9" t="s">
        <v>90</v>
      </c>
      <c r="H74" s="9" t="s">
        <v>36</v>
      </c>
    </row>
    <row r="75" customFormat="false" ht="15" hidden="false" customHeight="true" outlineLevel="0" collapsed="false">
      <c r="A75" s="9" t="s">
        <v>124</v>
      </c>
      <c r="B75" s="9" t="s">
        <v>31</v>
      </c>
      <c r="C75" s="9" t="s">
        <v>32</v>
      </c>
      <c r="D75" s="9" t="s">
        <v>33</v>
      </c>
      <c r="E75" s="9" t="s">
        <v>89</v>
      </c>
      <c r="F75" s="9" t="s">
        <v>33</v>
      </c>
      <c r="G75" s="9" t="s">
        <v>90</v>
      </c>
      <c r="H75" s="9" t="s">
        <v>36</v>
      </c>
    </row>
    <row r="76" customFormat="false" ht="15" hidden="false" customHeight="true" outlineLevel="0" collapsed="false">
      <c r="A76" s="9" t="s">
        <v>125</v>
      </c>
      <c r="B76" s="9" t="s">
        <v>31</v>
      </c>
      <c r="C76" s="9" t="s">
        <v>32</v>
      </c>
      <c r="D76" s="9" t="s">
        <v>33</v>
      </c>
      <c r="E76" s="9" t="s">
        <v>89</v>
      </c>
      <c r="F76" s="9" t="s">
        <v>33</v>
      </c>
      <c r="G76" s="9" t="s">
        <v>90</v>
      </c>
      <c r="H76" s="9" t="s">
        <v>36</v>
      </c>
    </row>
    <row r="77" customFormat="false" ht="15" hidden="false" customHeight="true" outlineLevel="0" collapsed="false">
      <c r="A77" s="9" t="s">
        <v>126</v>
      </c>
      <c r="B77" s="9" t="s">
        <v>31</v>
      </c>
      <c r="C77" s="9" t="s">
        <v>32</v>
      </c>
      <c r="D77" s="9" t="s">
        <v>33</v>
      </c>
      <c r="E77" s="9" t="s">
        <v>89</v>
      </c>
      <c r="F77" s="9" t="s">
        <v>33</v>
      </c>
      <c r="G77" s="9" t="s">
        <v>90</v>
      </c>
      <c r="H77" s="9" t="s">
        <v>36</v>
      </c>
    </row>
    <row r="78" customFormat="false" ht="15" hidden="false" customHeight="true" outlineLevel="0" collapsed="false">
      <c r="A78" s="9" t="s">
        <v>127</v>
      </c>
      <c r="B78" s="9" t="s">
        <v>31</v>
      </c>
      <c r="C78" s="9" t="s">
        <v>32</v>
      </c>
      <c r="D78" s="9" t="s">
        <v>33</v>
      </c>
      <c r="E78" s="9" t="s">
        <v>89</v>
      </c>
      <c r="F78" s="9" t="s">
        <v>33</v>
      </c>
      <c r="G78" s="9" t="s">
        <v>90</v>
      </c>
      <c r="H78" s="9" t="s">
        <v>36</v>
      </c>
    </row>
    <row r="79" customFormat="false" ht="15" hidden="false" customHeight="true" outlineLevel="0" collapsed="false">
      <c r="A79" s="9" t="s">
        <v>128</v>
      </c>
      <c r="B79" s="9" t="s">
        <v>31</v>
      </c>
      <c r="C79" s="9" t="s">
        <v>32</v>
      </c>
      <c r="D79" s="9" t="s">
        <v>33</v>
      </c>
      <c r="E79" s="9" t="s">
        <v>89</v>
      </c>
      <c r="F79" s="9" t="s">
        <v>33</v>
      </c>
      <c r="G79" s="9" t="s">
        <v>90</v>
      </c>
      <c r="H79" s="9" t="s">
        <v>36</v>
      </c>
    </row>
    <row r="80" customFormat="false" ht="15" hidden="false" customHeight="true" outlineLevel="0" collapsed="false">
      <c r="A80" s="9" t="s">
        <v>129</v>
      </c>
      <c r="B80" s="9" t="s">
        <v>31</v>
      </c>
      <c r="C80" s="9" t="s">
        <v>32</v>
      </c>
      <c r="D80" s="9" t="s">
        <v>33</v>
      </c>
      <c r="E80" s="9" t="s">
        <v>89</v>
      </c>
      <c r="F80" s="9" t="s">
        <v>33</v>
      </c>
      <c r="G80" s="9" t="s">
        <v>90</v>
      </c>
      <c r="H80" s="9" t="s">
        <v>36</v>
      </c>
    </row>
    <row r="81" customFormat="false" ht="15" hidden="false" customHeight="true" outlineLevel="0" collapsed="false">
      <c r="A81" s="9" t="s">
        <v>130</v>
      </c>
      <c r="B81" s="9" t="s">
        <v>31</v>
      </c>
      <c r="C81" s="9" t="s">
        <v>32</v>
      </c>
      <c r="D81" s="9" t="s">
        <v>33</v>
      </c>
      <c r="E81" s="9" t="s">
        <v>89</v>
      </c>
      <c r="F81" s="9" t="s">
        <v>33</v>
      </c>
      <c r="G81" s="9" t="s">
        <v>90</v>
      </c>
      <c r="H81" s="9" t="s">
        <v>36</v>
      </c>
    </row>
    <row r="82" customFormat="false" ht="15" hidden="false" customHeight="true" outlineLevel="0" collapsed="false">
      <c r="A82" s="9" t="s">
        <v>131</v>
      </c>
      <c r="B82" s="9" t="s">
        <v>31</v>
      </c>
      <c r="C82" s="9" t="s">
        <v>32</v>
      </c>
      <c r="D82" s="9" t="s">
        <v>33</v>
      </c>
      <c r="E82" s="9" t="s">
        <v>89</v>
      </c>
      <c r="F82" s="9" t="s">
        <v>33</v>
      </c>
      <c r="G82" s="9" t="s">
        <v>90</v>
      </c>
      <c r="H82" s="9" t="s">
        <v>36</v>
      </c>
    </row>
    <row r="83" customFormat="false" ht="15" hidden="false" customHeight="true" outlineLevel="0" collapsed="false">
      <c r="A83" s="9" t="s">
        <v>132</v>
      </c>
      <c r="B83" s="9" t="s">
        <v>31</v>
      </c>
      <c r="C83" s="9" t="s">
        <v>32</v>
      </c>
      <c r="D83" s="9" t="s">
        <v>33</v>
      </c>
      <c r="E83" s="9" t="s">
        <v>89</v>
      </c>
      <c r="F83" s="9" t="s">
        <v>33</v>
      </c>
      <c r="G83" s="9" t="s">
        <v>90</v>
      </c>
      <c r="H83" s="9" t="s">
        <v>36</v>
      </c>
    </row>
    <row r="84" customFormat="false" ht="15" hidden="false" customHeight="true" outlineLevel="0" collapsed="false">
      <c r="A84" s="9" t="s">
        <v>133</v>
      </c>
      <c r="B84" s="9" t="s">
        <v>31</v>
      </c>
      <c r="C84" s="9" t="s">
        <v>32</v>
      </c>
      <c r="D84" s="9" t="s">
        <v>33</v>
      </c>
      <c r="E84" s="9" t="s">
        <v>89</v>
      </c>
      <c r="F84" s="9" t="s">
        <v>33</v>
      </c>
      <c r="G84" s="9" t="s">
        <v>90</v>
      </c>
      <c r="H84" s="9" t="s">
        <v>36</v>
      </c>
    </row>
    <row r="85" customFormat="false" ht="15" hidden="false" customHeight="true" outlineLevel="0" collapsed="false">
      <c r="A85" s="9" t="s">
        <v>134</v>
      </c>
      <c r="B85" s="9" t="s">
        <v>31</v>
      </c>
      <c r="C85" s="9" t="s">
        <v>32</v>
      </c>
      <c r="D85" s="9" t="s">
        <v>33</v>
      </c>
      <c r="E85" s="9" t="s">
        <v>89</v>
      </c>
      <c r="F85" s="9" t="s">
        <v>33</v>
      </c>
      <c r="G85" s="9" t="s">
        <v>90</v>
      </c>
      <c r="H85" s="9" t="s">
        <v>36</v>
      </c>
    </row>
    <row r="86" customFormat="false" ht="15" hidden="false" customHeight="true" outlineLevel="0" collapsed="false">
      <c r="A86" s="9" t="s">
        <v>135</v>
      </c>
      <c r="B86" s="9" t="s">
        <v>31</v>
      </c>
      <c r="C86" s="9" t="s">
        <v>32</v>
      </c>
      <c r="D86" s="9" t="s">
        <v>33</v>
      </c>
      <c r="E86" s="9" t="s">
        <v>89</v>
      </c>
      <c r="F86" s="9" t="s">
        <v>33</v>
      </c>
      <c r="G86" s="9" t="s">
        <v>90</v>
      </c>
      <c r="H86" s="9" t="s">
        <v>36</v>
      </c>
    </row>
    <row r="87" customFormat="false" ht="15" hidden="false" customHeight="true" outlineLevel="0" collapsed="false">
      <c r="A87" s="9" t="s">
        <v>136</v>
      </c>
      <c r="B87" s="9" t="s">
        <v>31</v>
      </c>
      <c r="C87" s="9" t="s">
        <v>32</v>
      </c>
      <c r="D87" s="9" t="s">
        <v>33</v>
      </c>
      <c r="E87" s="9" t="s">
        <v>89</v>
      </c>
      <c r="F87" s="9" t="s">
        <v>33</v>
      </c>
      <c r="G87" s="9" t="s">
        <v>90</v>
      </c>
      <c r="H87" s="9" t="s">
        <v>36</v>
      </c>
    </row>
    <row r="88" customFormat="false" ht="15" hidden="false" customHeight="true" outlineLevel="0" collapsed="false">
      <c r="A88" s="9" t="s">
        <v>137</v>
      </c>
      <c r="B88" s="9" t="s">
        <v>31</v>
      </c>
      <c r="C88" s="9" t="s">
        <v>32</v>
      </c>
      <c r="D88" s="9" t="s">
        <v>33</v>
      </c>
      <c r="E88" s="9" t="s">
        <v>89</v>
      </c>
      <c r="F88" s="9" t="s">
        <v>33</v>
      </c>
      <c r="G88" s="9" t="s">
        <v>90</v>
      </c>
      <c r="H88" s="9" t="s">
        <v>36</v>
      </c>
    </row>
    <row r="89" customFormat="false" ht="15" hidden="false" customHeight="true" outlineLevel="0" collapsed="false">
      <c r="A89" s="9" t="s">
        <v>138</v>
      </c>
      <c r="B89" s="9" t="s">
        <v>31</v>
      </c>
      <c r="C89" s="9" t="s">
        <v>32</v>
      </c>
      <c r="D89" s="9" t="s">
        <v>33</v>
      </c>
      <c r="E89" s="9" t="s">
        <v>89</v>
      </c>
      <c r="F89" s="9" t="s">
        <v>33</v>
      </c>
      <c r="G89" s="9" t="s">
        <v>90</v>
      </c>
      <c r="H89" s="9" t="s">
        <v>36</v>
      </c>
    </row>
    <row r="90" customFormat="false" ht="15" hidden="false" customHeight="true" outlineLevel="0" collapsed="false">
      <c r="A90" s="9" t="s">
        <v>139</v>
      </c>
      <c r="B90" s="9" t="s">
        <v>31</v>
      </c>
      <c r="C90" s="9" t="s">
        <v>32</v>
      </c>
      <c r="D90" s="9" t="s">
        <v>33</v>
      </c>
      <c r="E90" s="9" t="s">
        <v>89</v>
      </c>
      <c r="F90" s="9" t="s">
        <v>33</v>
      </c>
      <c r="G90" s="9" t="s">
        <v>90</v>
      </c>
      <c r="H90" s="9" t="s">
        <v>36</v>
      </c>
    </row>
    <row r="91" customFormat="false" ht="15" hidden="false" customHeight="true" outlineLevel="0" collapsed="false">
      <c r="A91" s="9" t="s">
        <v>140</v>
      </c>
      <c r="B91" s="9" t="s">
        <v>31</v>
      </c>
      <c r="C91" s="9" t="s">
        <v>32</v>
      </c>
      <c r="D91" s="9" t="s">
        <v>33</v>
      </c>
      <c r="E91" s="9" t="s">
        <v>89</v>
      </c>
      <c r="F91" s="9" t="s">
        <v>33</v>
      </c>
      <c r="G91" s="9" t="s">
        <v>90</v>
      </c>
      <c r="H91" s="9" t="s">
        <v>36</v>
      </c>
    </row>
    <row r="92" customFormat="false" ht="15" hidden="false" customHeight="true" outlineLevel="0" collapsed="false">
      <c r="A92" s="9" t="s">
        <v>141</v>
      </c>
      <c r="B92" s="9" t="s">
        <v>31</v>
      </c>
      <c r="C92" s="9" t="s">
        <v>32</v>
      </c>
      <c r="D92" s="9" t="s">
        <v>33</v>
      </c>
      <c r="E92" s="9" t="s">
        <v>89</v>
      </c>
      <c r="F92" s="9" t="s">
        <v>33</v>
      </c>
      <c r="G92" s="9" t="s">
        <v>90</v>
      </c>
      <c r="H92" s="9" t="s">
        <v>36</v>
      </c>
    </row>
    <row r="93" customFormat="false" ht="15" hidden="false" customHeight="true" outlineLevel="0" collapsed="false">
      <c r="A93" s="9" t="s">
        <v>142</v>
      </c>
      <c r="B93" s="9" t="s">
        <v>31</v>
      </c>
      <c r="C93" s="9" t="s">
        <v>32</v>
      </c>
      <c r="D93" s="9" t="s">
        <v>33</v>
      </c>
      <c r="E93" s="9" t="s">
        <v>89</v>
      </c>
      <c r="F93" s="9" t="s">
        <v>33</v>
      </c>
      <c r="G93" s="9" t="s">
        <v>90</v>
      </c>
      <c r="H93" s="9" t="s">
        <v>36</v>
      </c>
    </row>
    <row r="94" customFormat="false" ht="15" hidden="false" customHeight="true" outlineLevel="0" collapsed="false">
      <c r="A94" s="9" t="s">
        <v>143</v>
      </c>
      <c r="B94" s="9" t="s">
        <v>31</v>
      </c>
      <c r="C94" s="9" t="s">
        <v>32</v>
      </c>
      <c r="D94" s="9" t="s">
        <v>33</v>
      </c>
      <c r="E94" s="9" t="s">
        <v>89</v>
      </c>
      <c r="F94" s="9" t="s">
        <v>33</v>
      </c>
      <c r="G94" s="9" t="s">
        <v>90</v>
      </c>
      <c r="H94" s="9" t="s">
        <v>36</v>
      </c>
    </row>
    <row r="95" customFormat="false" ht="15" hidden="false" customHeight="true" outlineLevel="0" collapsed="false">
      <c r="A95" s="9" t="s">
        <v>144</v>
      </c>
      <c r="B95" s="9" t="s">
        <v>31</v>
      </c>
      <c r="C95" s="9" t="s">
        <v>32</v>
      </c>
      <c r="D95" s="9" t="s">
        <v>33</v>
      </c>
      <c r="E95" s="9" t="s">
        <v>89</v>
      </c>
      <c r="F95" s="9" t="s">
        <v>33</v>
      </c>
      <c r="G95" s="9" t="s">
        <v>90</v>
      </c>
      <c r="H95" s="9" t="s">
        <v>36</v>
      </c>
    </row>
    <row r="96" customFormat="false" ht="15" hidden="false" customHeight="true" outlineLevel="0" collapsed="false">
      <c r="A96" s="9" t="s">
        <v>145</v>
      </c>
      <c r="B96" s="9" t="s">
        <v>31</v>
      </c>
      <c r="C96" s="9" t="s">
        <v>32</v>
      </c>
      <c r="D96" s="9" t="s">
        <v>33</v>
      </c>
      <c r="E96" s="9" t="s">
        <v>89</v>
      </c>
      <c r="F96" s="9" t="s">
        <v>33</v>
      </c>
      <c r="G96" s="9" t="s">
        <v>90</v>
      </c>
      <c r="H96" s="9" t="s">
        <v>36</v>
      </c>
    </row>
    <row r="97" customFormat="false" ht="15" hidden="false" customHeight="true" outlineLevel="0" collapsed="false">
      <c r="A97" s="9" t="s">
        <v>146</v>
      </c>
      <c r="B97" s="9" t="s">
        <v>31</v>
      </c>
      <c r="C97" s="9" t="s">
        <v>32</v>
      </c>
      <c r="D97" s="9" t="s">
        <v>33</v>
      </c>
      <c r="E97" s="9" t="s">
        <v>89</v>
      </c>
      <c r="F97" s="9" t="s">
        <v>33</v>
      </c>
      <c r="G97" s="9" t="s">
        <v>90</v>
      </c>
      <c r="H97" s="9" t="s">
        <v>36</v>
      </c>
    </row>
    <row r="98" customFormat="false" ht="15" hidden="false" customHeight="true" outlineLevel="0" collapsed="false">
      <c r="A98" s="9" t="s">
        <v>147</v>
      </c>
      <c r="B98" s="9" t="s">
        <v>31</v>
      </c>
      <c r="C98" s="9" t="s">
        <v>32</v>
      </c>
      <c r="D98" s="9" t="s">
        <v>33</v>
      </c>
      <c r="E98" s="9" t="s">
        <v>89</v>
      </c>
      <c r="F98" s="9" t="s">
        <v>33</v>
      </c>
      <c r="G98" s="9" t="s">
        <v>90</v>
      </c>
      <c r="H98" s="9" t="s">
        <v>36</v>
      </c>
    </row>
    <row r="99" customFormat="false" ht="15" hidden="false" customHeight="true" outlineLevel="0" collapsed="false">
      <c r="A99" s="9" t="s">
        <v>148</v>
      </c>
      <c r="B99" s="9" t="s">
        <v>31</v>
      </c>
      <c r="C99" s="9" t="s">
        <v>32</v>
      </c>
      <c r="D99" s="9" t="s">
        <v>33</v>
      </c>
      <c r="E99" s="9" t="s">
        <v>89</v>
      </c>
      <c r="F99" s="9" t="s">
        <v>33</v>
      </c>
      <c r="G99" s="9" t="s">
        <v>90</v>
      </c>
      <c r="H99" s="9" t="s">
        <v>36</v>
      </c>
    </row>
    <row r="100" customFormat="false" ht="15" hidden="false" customHeight="true" outlineLevel="0" collapsed="false">
      <c r="A100" s="9" t="s">
        <v>149</v>
      </c>
      <c r="B100" s="9" t="s">
        <v>31</v>
      </c>
      <c r="C100" s="9" t="s">
        <v>32</v>
      </c>
      <c r="D100" s="9" t="s">
        <v>33</v>
      </c>
      <c r="E100" s="9" t="s">
        <v>89</v>
      </c>
      <c r="F100" s="9" t="s">
        <v>33</v>
      </c>
      <c r="G100" s="9" t="s">
        <v>90</v>
      </c>
      <c r="H100" s="9" t="s">
        <v>36</v>
      </c>
    </row>
    <row r="101" customFormat="false" ht="15" hidden="false" customHeight="true" outlineLevel="0" collapsed="false">
      <c r="A101" s="9" t="s">
        <v>150</v>
      </c>
      <c r="B101" s="9" t="s">
        <v>31</v>
      </c>
      <c r="C101" s="9" t="s">
        <v>32</v>
      </c>
      <c r="D101" s="9" t="s">
        <v>33</v>
      </c>
      <c r="E101" s="9" t="s">
        <v>89</v>
      </c>
      <c r="F101" s="9" t="s">
        <v>33</v>
      </c>
      <c r="G101" s="9" t="s">
        <v>90</v>
      </c>
      <c r="H101" s="9" t="s">
        <v>36</v>
      </c>
    </row>
    <row r="102" customFormat="false" ht="15" hidden="false" customHeight="true" outlineLevel="0" collapsed="false">
      <c r="A102" s="9" t="s">
        <v>151</v>
      </c>
      <c r="B102" s="9" t="s">
        <v>31</v>
      </c>
      <c r="C102" s="9" t="s">
        <v>32</v>
      </c>
      <c r="D102" s="9" t="s">
        <v>33</v>
      </c>
      <c r="E102" s="9" t="s">
        <v>89</v>
      </c>
      <c r="F102" s="9" t="s">
        <v>33</v>
      </c>
      <c r="G102" s="9" t="s">
        <v>90</v>
      </c>
      <c r="H102" s="9" t="s">
        <v>36</v>
      </c>
    </row>
    <row r="103" customFormat="false" ht="15" hidden="false" customHeight="true" outlineLevel="0" collapsed="false">
      <c r="A103" s="11" t="s">
        <v>152</v>
      </c>
      <c r="B103" s="11" t="s">
        <v>31</v>
      </c>
      <c r="C103" s="11" t="s">
        <v>32</v>
      </c>
      <c r="D103" s="11" t="s">
        <v>33</v>
      </c>
      <c r="E103" s="11"/>
      <c r="F103" s="11" t="s">
        <v>33</v>
      </c>
      <c r="G103" s="11" t="s">
        <v>53</v>
      </c>
      <c r="H103" s="11" t="s">
        <v>54</v>
      </c>
    </row>
    <row r="104" customFormat="false" ht="15" hidden="false" customHeight="true" outlineLevel="0" collapsed="false">
      <c r="A104" s="10" t="s">
        <v>153</v>
      </c>
      <c r="B104" s="10" t="s">
        <v>31</v>
      </c>
      <c r="C104" s="10" t="s">
        <v>32</v>
      </c>
      <c r="D104" s="10" t="s">
        <v>39</v>
      </c>
      <c r="E104" s="10"/>
      <c r="F104" s="10" t="s">
        <v>39</v>
      </c>
      <c r="G104" s="10" t="s">
        <v>48</v>
      </c>
      <c r="H104" s="10" t="s">
        <v>49</v>
      </c>
    </row>
    <row r="105" customFormat="false" ht="15" hidden="false" customHeight="true" outlineLevel="0" collapsed="false">
      <c r="A105" s="10" t="s">
        <v>154</v>
      </c>
      <c r="B105" s="10" t="s">
        <v>31</v>
      </c>
      <c r="C105" s="10" t="s">
        <v>32</v>
      </c>
      <c r="D105" s="10" t="s">
        <v>39</v>
      </c>
      <c r="E105" s="10"/>
      <c r="F105" s="10" t="s">
        <v>39</v>
      </c>
      <c r="G105" s="10" t="s">
        <v>48</v>
      </c>
      <c r="H105" s="10" t="s">
        <v>49</v>
      </c>
    </row>
    <row r="106" customFormat="false" ht="15" hidden="false" customHeight="true" outlineLevel="0" collapsed="false">
      <c r="A106" s="10" t="s">
        <v>155</v>
      </c>
      <c r="B106" s="10" t="s">
        <v>31</v>
      </c>
      <c r="C106" s="10" t="s">
        <v>32</v>
      </c>
      <c r="D106" s="10" t="s">
        <v>39</v>
      </c>
      <c r="E106" s="10"/>
      <c r="F106" s="10" t="s">
        <v>39</v>
      </c>
      <c r="G106" s="10" t="s">
        <v>48</v>
      </c>
      <c r="H106" s="10" t="s">
        <v>49</v>
      </c>
    </row>
    <row r="107" customFormat="false" ht="15" hidden="false" customHeight="true" outlineLevel="0" collapsed="false">
      <c r="A107" s="9" t="s">
        <v>156</v>
      </c>
      <c r="B107" s="9" t="s">
        <v>31</v>
      </c>
      <c r="C107" s="9" t="s">
        <v>32</v>
      </c>
      <c r="D107" s="9" t="s">
        <v>33</v>
      </c>
      <c r="E107" s="9" t="s">
        <v>77</v>
      </c>
      <c r="F107" s="9" t="s">
        <v>39</v>
      </c>
      <c r="G107" s="9" t="s">
        <v>84</v>
      </c>
      <c r="H107" s="9" t="s">
        <v>36</v>
      </c>
    </row>
    <row r="108" customFormat="false" ht="15" hidden="false" customHeight="true" outlineLevel="0" collapsed="false">
      <c r="A108" s="11" t="s">
        <v>157</v>
      </c>
      <c r="B108" s="11" t="s">
        <v>31</v>
      </c>
      <c r="C108" s="11" t="s">
        <v>32</v>
      </c>
      <c r="D108" s="11" t="s">
        <v>33</v>
      </c>
      <c r="E108" s="11"/>
      <c r="F108" s="11" t="s">
        <v>33</v>
      </c>
      <c r="G108" s="11" t="s">
        <v>53</v>
      </c>
      <c r="H108" s="11" t="s">
        <v>54</v>
      </c>
    </row>
    <row r="109" customFormat="false" ht="15" hidden="false" customHeight="true" outlineLevel="0" collapsed="false">
      <c r="A109" s="11" t="s">
        <v>158</v>
      </c>
      <c r="B109" s="11" t="s">
        <v>31</v>
      </c>
      <c r="C109" s="11" t="s">
        <v>32</v>
      </c>
      <c r="D109" s="11" t="s">
        <v>33</v>
      </c>
      <c r="E109" s="11"/>
      <c r="F109" s="11" t="s">
        <v>33</v>
      </c>
      <c r="G109" s="11" t="s">
        <v>53</v>
      </c>
      <c r="H109" s="11" t="s">
        <v>54</v>
      </c>
    </row>
    <row r="110" customFormat="false" ht="15" hidden="false" customHeight="true" outlineLevel="0" collapsed="false">
      <c r="A110" s="11" t="s">
        <v>159</v>
      </c>
      <c r="B110" s="11" t="s">
        <v>31</v>
      </c>
      <c r="C110" s="11" t="s">
        <v>32</v>
      </c>
      <c r="D110" s="11" t="s">
        <v>33</v>
      </c>
      <c r="E110" s="11"/>
      <c r="F110" s="11" t="s">
        <v>33</v>
      </c>
      <c r="G110" s="11" t="s">
        <v>53</v>
      </c>
      <c r="H110" s="11" t="s">
        <v>54</v>
      </c>
    </row>
    <row r="111" customFormat="false" ht="15" hidden="false" customHeight="true" outlineLevel="0" collapsed="false">
      <c r="A111" s="11" t="s">
        <v>160</v>
      </c>
      <c r="B111" s="11" t="s">
        <v>31</v>
      </c>
      <c r="C111" s="11" t="s">
        <v>32</v>
      </c>
      <c r="D111" s="11" t="s">
        <v>33</v>
      </c>
      <c r="E111" s="11"/>
      <c r="F111" s="11" t="s">
        <v>33</v>
      </c>
      <c r="G111" s="11" t="s">
        <v>53</v>
      </c>
      <c r="H111" s="11" t="s">
        <v>54</v>
      </c>
    </row>
    <row r="112" customFormat="false" ht="15" hidden="false" customHeight="true" outlineLevel="0" collapsed="false">
      <c r="A112" s="9" t="s">
        <v>161</v>
      </c>
      <c r="B112" s="9" t="s">
        <v>31</v>
      </c>
      <c r="C112" s="9" t="s">
        <v>32</v>
      </c>
      <c r="D112" s="9" t="s">
        <v>33</v>
      </c>
      <c r="E112" s="9" t="s">
        <v>77</v>
      </c>
      <c r="F112" s="9" t="s">
        <v>39</v>
      </c>
      <c r="G112" s="9" t="s">
        <v>84</v>
      </c>
      <c r="H112" s="9" t="s">
        <v>36</v>
      </c>
    </row>
    <row r="113" customFormat="false" ht="15" hidden="false" customHeight="true" outlineLevel="0" collapsed="false">
      <c r="A113" s="10" t="s">
        <v>162</v>
      </c>
      <c r="B113" s="10" t="s">
        <v>31</v>
      </c>
      <c r="C113" s="10" t="s">
        <v>32</v>
      </c>
      <c r="D113" s="10" t="s">
        <v>39</v>
      </c>
      <c r="E113" s="10"/>
      <c r="F113" s="10" t="s">
        <v>39</v>
      </c>
      <c r="G113" s="10" t="s">
        <v>48</v>
      </c>
      <c r="H113" s="10" t="s">
        <v>49</v>
      </c>
    </row>
    <row r="114" customFormat="false" ht="15" hidden="false" customHeight="true" outlineLevel="0" collapsed="false">
      <c r="A114" s="11" t="s">
        <v>163</v>
      </c>
      <c r="B114" s="11" t="s">
        <v>31</v>
      </c>
      <c r="C114" s="11" t="s">
        <v>32</v>
      </c>
      <c r="D114" s="11" t="s">
        <v>33</v>
      </c>
      <c r="E114" s="11"/>
      <c r="F114" s="11" t="s">
        <v>33</v>
      </c>
      <c r="G114" s="11" t="s">
        <v>53</v>
      </c>
      <c r="H114" s="11" t="s">
        <v>54</v>
      </c>
    </row>
    <row r="115" customFormat="false" ht="15" hidden="false" customHeight="true" outlineLevel="0" collapsed="false">
      <c r="A115" s="10" t="s">
        <v>164</v>
      </c>
      <c r="B115" s="10" t="s">
        <v>31</v>
      </c>
      <c r="C115" s="10" t="s">
        <v>32</v>
      </c>
      <c r="D115" s="10" t="s">
        <v>39</v>
      </c>
      <c r="E115" s="10"/>
      <c r="F115" s="10" t="s">
        <v>39</v>
      </c>
      <c r="G115" s="10" t="s">
        <v>48</v>
      </c>
      <c r="H115" s="10" t="s">
        <v>49</v>
      </c>
    </row>
    <row r="116" customFormat="false" ht="15" hidden="false" customHeight="true" outlineLevel="0" collapsed="false">
      <c r="A116" s="12" t="s">
        <v>165</v>
      </c>
      <c r="B116" s="12" t="s">
        <v>31</v>
      </c>
      <c r="C116" s="12" t="s">
        <v>32</v>
      </c>
      <c r="D116" s="12" t="s">
        <v>39</v>
      </c>
      <c r="E116" s="12"/>
      <c r="F116" s="12" t="s">
        <v>33</v>
      </c>
      <c r="G116" s="12" t="s">
        <v>166</v>
      </c>
      <c r="H116" s="12" t="s">
        <v>167</v>
      </c>
    </row>
    <row r="117" customFormat="false" ht="15" hidden="false" customHeight="true" outlineLevel="0" collapsed="false">
      <c r="A117" s="10" t="s">
        <v>168</v>
      </c>
      <c r="B117" s="10" t="s">
        <v>31</v>
      </c>
      <c r="C117" s="10" t="s">
        <v>32</v>
      </c>
      <c r="D117" s="10" t="s">
        <v>39</v>
      </c>
      <c r="E117" s="10"/>
      <c r="F117" s="10" t="s">
        <v>39</v>
      </c>
      <c r="G117" s="10" t="s">
        <v>48</v>
      </c>
      <c r="H117" s="10" t="s">
        <v>49</v>
      </c>
    </row>
    <row r="118" customFormat="false" ht="15" hidden="false" customHeight="true" outlineLevel="0" collapsed="false">
      <c r="A118" s="11" t="s">
        <v>169</v>
      </c>
      <c r="B118" s="11" t="s">
        <v>31</v>
      </c>
      <c r="C118" s="11" t="s">
        <v>32</v>
      </c>
      <c r="D118" s="11" t="s">
        <v>33</v>
      </c>
      <c r="E118" s="11"/>
      <c r="F118" s="11" t="s">
        <v>33</v>
      </c>
      <c r="G118" s="11" t="s">
        <v>53</v>
      </c>
      <c r="H118" s="11" t="s">
        <v>54</v>
      </c>
    </row>
    <row r="119" customFormat="false" ht="15" hidden="false" customHeight="true" outlineLevel="0" collapsed="false">
      <c r="A119" s="10" t="s">
        <v>170</v>
      </c>
      <c r="B119" s="10" t="s">
        <v>31</v>
      </c>
      <c r="C119" s="10" t="s">
        <v>32</v>
      </c>
      <c r="D119" s="10" t="s">
        <v>39</v>
      </c>
      <c r="E119" s="10"/>
      <c r="F119" s="10" t="s">
        <v>39</v>
      </c>
      <c r="G119" s="10" t="s">
        <v>48</v>
      </c>
      <c r="H119" s="10" t="s">
        <v>49</v>
      </c>
    </row>
    <row r="120" customFormat="false" ht="15" hidden="false" customHeight="true" outlineLevel="0" collapsed="false">
      <c r="A120" s="10" t="s">
        <v>171</v>
      </c>
      <c r="B120" s="10" t="s">
        <v>31</v>
      </c>
      <c r="C120" s="10" t="s">
        <v>32</v>
      </c>
      <c r="D120" s="10" t="s">
        <v>39</v>
      </c>
      <c r="E120" s="10"/>
      <c r="F120" s="10" t="s">
        <v>39</v>
      </c>
      <c r="G120" s="10" t="s">
        <v>48</v>
      </c>
      <c r="H120" s="10" t="s">
        <v>49</v>
      </c>
    </row>
    <row r="121" customFormat="false" ht="15" hidden="false" customHeight="true" outlineLevel="0" collapsed="false">
      <c r="A121" s="10" t="s">
        <v>172</v>
      </c>
      <c r="B121" s="10" t="s">
        <v>31</v>
      </c>
      <c r="C121" s="10" t="s">
        <v>32</v>
      </c>
      <c r="D121" s="10" t="s">
        <v>39</v>
      </c>
      <c r="E121" s="10"/>
      <c r="F121" s="10" t="s">
        <v>39</v>
      </c>
      <c r="G121" s="10" t="s">
        <v>48</v>
      </c>
      <c r="H121" s="10" t="s">
        <v>49</v>
      </c>
    </row>
    <row r="122" customFormat="false" ht="15" hidden="false" customHeight="true" outlineLevel="0" collapsed="false">
      <c r="A122" s="10" t="s">
        <v>173</v>
      </c>
      <c r="B122" s="10" t="s">
        <v>31</v>
      </c>
      <c r="C122" s="10" t="s">
        <v>32</v>
      </c>
      <c r="D122" s="10" t="s">
        <v>39</v>
      </c>
      <c r="E122" s="10"/>
      <c r="F122" s="10" t="s">
        <v>39</v>
      </c>
      <c r="G122" s="10" t="s">
        <v>48</v>
      </c>
      <c r="H122" s="10" t="s">
        <v>49</v>
      </c>
    </row>
    <row r="123" customFormat="false" ht="15" hidden="false" customHeight="true" outlineLevel="0" collapsed="false">
      <c r="A123" s="10" t="s">
        <v>174</v>
      </c>
      <c r="B123" s="10" t="s">
        <v>31</v>
      </c>
      <c r="C123" s="10" t="s">
        <v>32</v>
      </c>
      <c r="D123" s="10" t="s">
        <v>39</v>
      </c>
      <c r="E123" s="10"/>
      <c r="F123" s="10" t="s">
        <v>39</v>
      </c>
      <c r="G123" s="10" t="s">
        <v>48</v>
      </c>
      <c r="H123" s="10" t="s">
        <v>49</v>
      </c>
    </row>
    <row r="124" customFormat="false" ht="15" hidden="false" customHeight="true" outlineLevel="0" collapsed="false">
      <c r="A124" s="10" t="s">
        <v>175</v>
      </c>
      <c r="B124" s="10" t="s">
        <v>31</v>
      </c>
      <c r="C124" s="10" t="s">
        <v>32</v>
      </c>
      <c r="D124" s="10" t="s">
        <v>39</v>
      </c>
      <c r="E124" s="10"/>
      <c r="F124" s="10" t="s">
        <v>39</v>
      </c>
      <c r="G124" s="10" t="s">
        <v>48</v>
      </c>
      <c r="H124" s="10" t="s">
        <v>49</v>
      </c>
    </row>
    <row r="125" customFormat="false" ht="15" hidden="false" customHeight="true" outlineLevel="0" collapsed="false">
      <c r="A125" s="9" t="s">
        <v>176</v>
      </c>
      <c r="B125" s="9" t="s">
        <v>31</v>
      </c>
      <c r="C125" s="9" t="s">
        <v>32</v>
      </c>
      <c r="D125" s="9" t="s">
        <v>33</v>
      </c>
      <c r="E125" s="9" t="s">
        <v>177</v>
      </c>
      <c r="F125" s="9" t="s">
        <v>33</v>
      </c>
      <c r="G125" s="9" t="s">
        <v>178</v>
      </c>
      <c r="H125" s="9" t="s">
        <v>36</v>
      </c>
    </row>
    <row r="126" customFormat="false" ht="15" hidden="false" customHeight="true" outlineLevel="0" collapsed="false">
      <c r="A126" s="9" t="s">
        <v>179</v>
      </c>
      <c r="B126" s="9" t="s">
        <v>31</v>
      </c>
      <c r="C126" s="9" t="s">
        <v>32</v>
      </c>
      <c r="D126" s="9" t="s">
        <v>33</v>
      </c>
      <c r="E126" s="9" t="s">
        <v>177</v>
      </c>
      <c r="F126" s="9" t="s">
        <v>39</v>
      </c>
      <c r="G126" s="9" t="s">
        <v>178</v>
      </c>
      <c r="H126" s="9" t="s">
        <v>36</v>
      </c>
    </row>
    <row r="127" customFormat="false" ht="15" hidden="false" customHeight="true" outlineLevel="0" collapsed="false">
      <c r="A127" s="10" t="s">
        <v>180</v>
      </c>
      <c r="B127" s="10" t="s">
        <v>31</v>
      </c>
      <c r="C127" s="10" t="s">
        <v>32</v>
      </c>
      <c r="D127" s="10" t="s">
        <v>39</v>
      </c>
      <c r="E127" s="10"/>
      <c r="F127" s="10" t="s">
        <v>39</v>
      </c>
      <c r="G127" s="10" t="s">
        <v>48</v>
      </c>
      <c r="H127" s="10" t="s">
        <v>49</v>
      </c>
    </row>
    <row r="128" customFormat="false" ht="15" hidden="false" customHeight="true" outlineLevel="0" collapsed="false">
      <c r="A128" s="10" t="s">
        <v>181</v>
      </c>
      <c r="B128" s="10" t="s">
        <v>31</v>
      </c>
      <c r="C128" s="10" t="s">
        <v>32</v>
      </c>
      <c r="D128" s="10" t="s">
        <v>39</v>
      </c>
      <c r="E128" s="10"/>
      <c r="F128" s="10" t="s">
        <v>39</v>
      </c>
      <c r="G128" s="10" t="s">
        <v>48</v>
      </c>
      <c r="H128" s="10" t="s">
        <v>49</v>
      </c>
    </row>
    <row r="129" customFormat="false" ht="15" hidden="false" customHeight="true" outlineLevel="0" collapsed="false">
      <c r="A129" s="9" t="s">
        <v>182</v>
      </c>
      <c r="B129" s="9" t="s">
        <v>31</v>
      </c>
      <c r="C129" s="9" t="s">
        <v>32</v>
      </c>
      <c r="D129" s="9" t="s">
        <v>33</v>
      </c>
      <c r="E129" s="9" t="s">
        <v>183</v>
      </c>
      <c r="F129" s="9" t="s">
        <v>39</v>
      </c>
      <c r="G129" s="9" t="s">
        <v>184</v>
      </c>
      <c r="H129" s="9" t="s">
        <v>36</v>
      </c>
    </row>
    <row r="130" customFormat="false" ht="15" hidden="false" customHeight="true" outlineLevel="0" collapsed="false">
      <c r="A130" s="10" t="s">
        <v>185</v>
      </c>
      <c r="B130" s="10" t="s">
        <v>31</v>
      </c>
      <c r="C130" s="10" t="s">
        <v>32</v>
      </c>
      <c r="D130" s="10" t="s">
        <v>39</v>
      </c>
      <c r="E130" s="10"/>
      <c r="F130" s="10" t="s">
        <v>39</v>
      </c>
      <c r="G130" s="10" t="s">
        <v>48</v>
      </c>
      <c r="H130" s="10" t="s">
        <v>49</v>
      </c>
    </row>
    <row r="131" customFormat="false" ht="15" hidden="false" customHeight="true" outlineLevel="0" collapsed="false">
      <c r="A131" s="10" t="s">
        <v>186</v>
      </c>
      <c r="B131" s="10" t="s">
        <v>31</v>
      </c>
      <c r="C131" s="10" t="s">
        <v>32</v>
      </c>
      <c r="D131" s="10" t="s">
        <v>39</v>
      </c>
      <c r="E131" s="10"/>
      <c r="F131" s="10" t="s">
        <v>39</v>
      </c>
      <c r="G131" s="10" t="s">
        <v>48</v>
      </c>
      <c r="H131" s="10" t="s">
        <v>49</v>
      </c>
    </row>
    <row r="132" customFormat="false" ht="15" hidden="false" customHeight="true" outlineLevel="0" collapsed="false">
      <c r="A132" s="10" t="s">
        <v>187</v>
      </c>
      <c r="B132" s="10" t="s">
        <v>31</v>
      </c>
      <c r="C132" s="10" t="s">
        <v>32</v>
      </c>
      <c r="D132" s="10" t="s">
        <v>39</v>
      </c>
      <c r="E132" s="10"/>
      <c r="F132" s="10" t="s">
        <v>39</v>
      </c>
      <c r="G132" s="10" t="s">
        <v>48</v>
      </c>
      <c r="H132" s="10" t="s">
        <v>49</v>
      </c>
    </row>
    <row r="133" customFormat="false" ht="15" hidden="false" customHeight="true" outlineLevel="0" collapsed="false">
      <c r="A133" s="10" t="s">
        <v>188</v>
      </c>
      <c r="B133" s="10" t="s">
        <v>31</v>
      </c>
      <c r="C133" s="10" t="s">
        <v>32</v>
      </c>
      <c r="D133" s="10" t="s">
        <v>39</v>
      </c>
      <c r="E133" s="10"/>
      <c r="F133" s="10" t="s">
        <v>39</v>
      </c>
      <c r="G133" s="10" t="s">
        <v>48</v>
      </c>
      <c r="H133" s="10" t="s">
        <v>49</v>
      </c>
    </row>
    <row r="134" customFormat="false" ht="15" hidden="false" customHeight="true" outlineLevel="0" collapsed="false">
      <c r="A134" s="10" t="s">
        <v>189</v>
      </c>
      <c r="B134" s="10" t="s">
        <v>31</v>
      </c>
      <c r="C134" s="10" t="s">
        <v>32</v>
      </c>
      <c r="D134" s="10" t="s">
        <v>39</v>
      </c>
      <c r="E134" s="10"/>
      <c r="F134" s="10" t="s">
        <v>39</v>
      </c>
      <c r="G134" s="10" t="s">
        <v>48</v>
      </c>
      <c r="H134" s="10" t="s">
        <v>49</v>
      </c>
    </row>
    <row r="135" customFormat="false" ht="15" hidden="false" customHeight="true" outlineLevel="0" collapsed="false">
      <c r="A135" s="10" t="s">
        <v>190</v>
      </c>
      <c r="B135" s="10" t="s">
        <v>31</v>
      </c>
      <c r="C135" s="10" t="s">
        <v>32</v>
      </c>
      <c r="D135" s="10" t="s">
        <v>39</v>
      </c>
      <c r="E135" s="10"/>
      <c r="F135" s="10" t="s">
        <v>39</v>
      </c>
      <c r="G135" s="10" t="s">
        <v>48</v>
      </c>
      <c r="H135" s="10" t="s">
        <v>49</v>
      </c>
    </row>
    <row r="136" customFormat="false" ht="15" hidden="false" customHeight="true" outlineLevel="0" collapsed="false">
      <c r="A136" s="10" t="s">
        <v>191</v>
      </c>
      <c r="B136" s="10" t="s">
        <v>31</v>
      </c>
      <c r="C136" s="10" t="s">
        <v>32</v>
      </c>
      <c r="D136" s="10" t="s">
        <v>39</v>
      </c>
      <c r="E136" s="10"/>
      <c r="F136" s="10" t="s">
        <v>39</v>
      </c>
      <c r="G136" s="10" t="s">
        <v>48</v>
      </c>
      <c r="H136" s="10" t="s">
        <v>49</v>
      </c>
    </row>
    <row r="137" customFormat="false" ht="15" hidden="false" customHeight="true" outlineLevel="0" collapsed="false">
      <c r="A137" s="9" t="s">
        <v>192</v>
      </c>
      <c r="B137" s="9" t="s">
        <v>31</v>
      </c>
      <c r="C137" s="9" t="s">
        <v>32</v>
      </c>
      <c r="D137" s="9" t="s">
        <v>33</v>
      </c>
      <c r="E137" s="9" t="s">
        <v>177</v>
      </c>
      <c r="F137" s="9" t="s">
        <v>33</v>
      </c>
      <c r="G137" s="9" t="s">
        <v>178</v>
      </c>
      <c r="H137" s="9" t="s">
        <v>36</v>
      </c>
    </row>
    <row r="138" customFormat="false" ht="15" hidden="false" customHeight="true" outlineLevel="0" collapsed="false">
      <c r="A138" s="11" t="s">
        <v>193</v>
      </c>
      <c r="B138" s="11" t="s">
        <v>31</v>
      </c>
      <c r="C138" s="11" t="s">
        <v>32</v>
      </c>
      <c r="D138" s="11" t="s">
        <v>33</v>
      </c>
      <c r="E138" s="11"/>
      <c r="F138" s="11" t="s">
        <v>33</v>
      </c>
      <c r="G138" s="11" t="s">
        <v>53</v>
      </c>
      <c r="H138" s="11" t="s">
        <v>54</v>
      </c>
    </row>
    <row r="139" customFormat="false" ht="15" hidden="false" customHeight="true" outlineLevel="0" collapsed="false">
      <c r="A139" s="11" t="s">
        <v>194</v>
      </c>
      <c r="B139" s="11" t="s">
        <v>31</v>
      </c>
      <c r="C139" s="11" t="s">
        <v>32</v>
      </c>
      <c r="D139" s="11" t="s">
        <v>33</v>
      </c>
      <c r="E139" s="11"/>
      <c r="F139" s="11" t="s">
        <v>33</v>
      </c>
      <c r="G139" s="11" t="s">
        <v>53</v>
      </c>
      <c r="H139" s="11" t="s">
        <v>54</v>
      </c>
    </row>
    <row r="140" customFormat="false" ht="15" hidden="false" customHeight="true" outlineLevel="0" collapsed="false">
      <c r="A140" s="11" t="s">
        <v>195</v>
      </c>
      <c r="B140" s="11" t="s">
        <v>31</v>
      </c>
      <c r="C140" s="11" t="s">
        <v>32</v>
      </c>
      <c r="D140" s="11" t="s">
        <v>33</v>
      </c>
      <c r="E140" s="11"/>
      <c r="F140" s="11" t="s">
        <v>33</v>
      </c>
      <c r="G140" s="11" t="s">
        <v>53</v>
      </c>
      <c r="H140" s="11" t="s">
        <v>54</v>
      </c>
    </row>
    <row r="141" customFormat="false" ht="15" hidden="false" customHeight="true" outlineLevel="0" collapsed="false">
      <c r="A141" s="11" t="s">
        <v>196</v>
      </c>
      <c r="B141" s="11" t="s">
        <v>31</v>
      </c>
      <c r="C141" s="11" t="s">
        <v>32</v>
      </c>
      <c r="D141" s="11" t="s">
        <v>33</v>
      </c>
      <c r="E141" s="11"/>
      <c r="F141" s="11" t="s">
        <v>33</v>
      </c>
      <c r="G141" s="11" t="s">
        <v>53</v>
      </c>
      <c r="H141" s="11" t="s">
        <v>54</v>
      </c>
    </row>
    <row r="142" customFormat="false" ht="15" hidden="false" customHeight="true" outlineLevel="0" collapsed="false">
      <c r="A142" s="11" t="s">
        <v>197</v>
      </c>
      <c r="B142" s="11" t="s">
        <v>31</v>
      </c>
      <c r="C142" s="11" t="s">
        <v>32</v>
      </c>
      <c r="D142" s="11" t="s">
        <v>33</v>
      </c>
      <c r="E142" s="11"/>
      <c r="F142" s="11" t="s">
        <v>33</v>
      </c>
      <c r="G142" s="11" t="s">
        <v>53</v>
      </c>
      <c r="H142" s="11" t="s">
        <v>54</v>
      </c>
    </row>
    <row r="143" customFormat="false" ht="15" hidden="false" customHeight="true" outlineLevel="0" collapsed="false">
      <c r="A143" s="11" t="s">
        <v>198</v>
      </c>
      <c r="B143" s="11" t="s">
        <v>31</v>
      </c>
      <c r="C143" s="11" t="s">
        <v>32</v>
      </c>
      <c r="D143" s="11" t="s">
        <v>33</v>
      </c>
      <c r="E143" s="11"/>
      <c r="F143" s="11" t="s">
        <v>33</v>
      </c>
      <c r="G143" s="11" t="s">
        <v>53</v>
      </c>
      <c r="H143" s="11" t="s">
        <v>54</v>
      </c>
    </row>
    <row r="144" customFormat="false" ht="15" hidden="false" customHeight="true" outlineLevel="0" collapsed="false">
      <c r="A144" s="11" t="s">
        <v>199</v>
      </c>
      <c r="B144" s="11" t="s">
        <v>31</v>
      </c>
      <c r="C144" s="11" t="s">
        <v>32</v>
      </c>
      <c r="D144" s="11" t="s">
        <v>33</v>
      </c>
      <c r="E144" s="11"/>
      <c r="F144" s="11" t="s">
        <v>33</v>
      </c>
      <c r="G144" s="11" t="s">
        <v>53</v>
      </c>
      <c r="H144" s="11" t="s">
        <v>54</v>
      </c>
    </row>
    <row r="145" customFormat="false" ht="15" hidden="false" customHeight="true" outlineLevel="0" collapsed="false">
      <c r="A145" s="11" t="s">
        <v>200</v>
      </c>
      <c r="B145" s="11" t="s">
        <v>31</v>
      </c>
      <c r="C145" s="11" t="s">
        <v>32</v>
      </c>
      <c r="D145" s="11" t="s">
        <v>33</v>
      </c>
      <c r="E145" s="11"/>
      <c r="F145" s="11" t="s">
        <v>33</v>
      </c>
      <c r="G145" s="11" t="s">
        <v>53</v>
      </c>
      <c r="H145" s="11" t="s">
        <v>54</v>
      </c>
    </row>
    <row r="146" customFormat="false" ht="15" hidden="false" customHeight="true" outlineLevel="0" collapsed="false">
      <c r="A146" s="10" t="s">
        <v>201</v>
      </c>
      <c r="B146" s="10" t="s">
        <v>31</v>
      </c>
      <c r="C146" s="10" t="s">
        <v>32</v>
      </c>
      <c r="D146" s="10" t="s">
        <v>39</v>
      </c>
      <c r="E146" s="10"/>
      <c r="F146" s="10" t="s">
        <v>39</v>
      </c>
      <c r="G146" s="10" t="s">
        <v>48</v>
      </c>
      <c r="H146" s="10" t="s">
        <v>49</v>
      </c>
    </row>
    <row r="147" customFormat="false" ht="15" hidden="false" customHeight="true" outlineLevel="0" collapsed="false">
      <c r="A147" s="10" t="s">
        <v>202</v>
      </c>
      <c r="B147" s="10" t="s">
        <v>31</v>
      </c>
      <c r="C147" s="10" t="s">
        <v>32</v>
      </c>
      <c r="D147" s="10" t="s">
        <v>39</v>
      </c>
      <c r="E147" s="10"/>
      <c r="F147" s="10" t="s">
        <v>39</v>
      </c>
      <c r="G147" s="10" t="s">
        <v>48</v>
      </c>
      <c r="H147" s="10" t="s">
        <v>49</v>
      </c>
    </row>
    <row r="148" customFormat="false" ht="15" hidden="false" customHeight="true" outlineLevel="0" collapsed="false">
      <c r="A148" s="11" t="s">
        <v>203</v>
      </c>
      <c r="B148" s="11" t="s">
        <v>31</v>
      </c>
      <c r="C148" s="11" t="s">
        <v>32</v>
      </c>
      <c r="D148" s="11" t="s">
        <v>33</v>
      </c>
      <c r="E148" s="11"/>
      <c r="F148" s="11" t="s">
        <v>33</v>
      </c>
      <c r="G148" s="11" t="s">
        <v>53</v>
      </c>
      <c r="H148" s="11" t="s">
        <v>54</v>
      </c>
    </row>
    <row r="149" customFormat="false" ht="15" hidden="false" customHeight="true" outlineLevel="0" collapsed="false">
      <c r="A149" s="10" t="s">
        <v>204</v>
      </c>
      <c r="B149" s="10" t="s">
        <v>31</v>
      </c>
      <c r="C149" s="10" t="s">
        <v>32</v>
      </c>
      <c r="D149" s="10" t="s">
        <v>39</v>
      </c>
      <c r="E149" s="10"/>
      <c r="F149" s="10" t="s">
        <v>39</v>
      </c>
      <c r="G149" s="10" t="s">
        <v>48</v>
      </c>
      <c r="H149" s="10" t="s">
        <v>49</v>
      </c>
    </row>
    <row r="150" customFormat="false" ht="15" hidden="false" customHeight="true" outlineLevel="0" collapsed="false">
      <c r="A150" s="10" t="s">
        <v>205</v>
      </c>
      <c r="B150" s="10" t="s">
        <v>31</v>
      </c>
      <c r="C150" s="10" t="s">
        <v>32</v>
      </c>
      <c r="D150" s="10" t="s">
        <v>39</v>
      </c>
      <c r="E150" s="10"/>
      <c r="F150" s="10" t="s">
        <v>39</v>
      </c>
      <c r="G150" s="10" t="s">
        <v>48</v>
      </c>
      <c r="H150" s="10" t="s">
        <v>49</v>
      </c>
    </row>
    <row r="151" customFormat="false" ht="15" hidden="false" customHeight="true" outlineLevel="0" collapsed="false">
      <c r="A151" s="10" t="s">
        <v>206</v>
      </c>
      <c r="B151" s="10" t="s">
        <v>31</v>
      </c>
      <c r="C151" s="10" t="s">
        <v>32</v>
      </c>
      <c r="D151" s="10" t="s">
        <v>39</v>
      </c>
      <c r="E151" s="10"/>
      <c r="F151" s="10" t="s">
        <v>39</v>
      </c>
      <c r="G151" s="10" t="s">
        <v>48</v>
      </c>
      <c r="H151" s="10" t="s">
        <v>49</v>
      </c>
    </row>
    <row r="152" customFormat="false" ht="15" hidden="false" customHeight="true" outlineLevel="0" collapsed="false">
      <c r="A152" s="11" t="s">
        <v>207</v>
      </c>
      <c r="B152" s="11" t="s">
        <v>31</v>
      </c>
      <c r="C152" s="11" t="s">
        <v>32</v>
      </c>
      <c r="D152" s="11" t="s">
        <v>33</v>
      </c>
      <c r="E152" s="11"/>
      <c r="F152" s="11" t="s">
        <v>33</v>
      </c>
      <c r="G152" s="11" t="s">
        <v>53</v>
      </c>
      <c r="H152" s="11" t="s">
        <v>54</v>
      </c>
    </row>
    <row r="153" customFormat="false" ht="15" hidden="false" customHeight="true" outlineLevel="0" collapsed="false">
      <c r="A153" s="11" t="s">
        <v>208</v>
      </c>
      <c r="B153" s="11" t="s">
        <v>31</v>
      </c>
      <c r="C153" s="11" t="s">
        <v>32</v>
      </c>
      <c r="D153" s="11" t="s">
        <v>33</v>
      </c>
      <c r="E153" s="11"/>
      <c r="F153" s="11" t="s">
        <v>33</v>
      </c>
      <c r="G153" s="11" t="s">
        <v>53</v>
      </c>
      <c r="H153" s="11" t="s">
        <v>54</v>
      </c>
    </row>
    <row r="154" customFormat="false" ht="15" hidden="false" customHeight="true" outlineLevel="0" collapsed="false">
      <c r="A154" s="10" t="s">
        <v>209</v>
      </c>
      <c r="B154" s="10" t="s">
        <v>31</v>
      </c>
      <c r="C154" s="10" t="s">
        <v>32</v>
      </c>
      <c r="D154" s="10" t="s">
        <v>39</v>
      </c>
      <c r="E154" s="10"/>
      <c r="F154" s="10" t="s">
        <v>39</v>
      </c>
      <c r="G154" s="10" t="s">
        <v>48</v>
      </c>
      <c r="H154" s="10" t="s">
        <v>49</v>
      </c>
    </row>
    <row r="155" customFormat="false" ht="15" hidden="false" customHeight="true" outlineLevel="0" collapsed="false">
      <c r="A155" s="10" t="s">
        <v>210</v>
      </c>
      <c r="B155" s="10" t="s">
        <v>31</v>
      </c>
      <c r="C155" s="10" t="s">
        <v>32</v>
      </c>
      <c r="D155" s="10" t="s">
        <v>39</v>
      </c>
      <c r="E155" s="10"/>
      <c r="F155" s="10" t="s">
        <v>39</v>
      </c>
      <c r="G155" s="10" t="s">
        <v>48</v>
      </c>
      <c r="H155" s="10" t="s">
        <v>49</v>
      </c>
    </row>
    <row r="156" customFormat="false" ht="15" hidden="false" customHeight="true" outlineLevel="0" collapsed="false">
      <c r="A156" s="11" t="s">
        <v>211</v>
      </c>
      <c r="B156" s="11" t="s">
        <v>31</v>
      </c>
      <c r="C156" s="11" t="s">
        <v>32</v>
      </c>
      <c r="D156" s="11" t="s">
        <v>33</v>
      </c>
      <c r="E156" s="11"/>
      <c r="F156" s="11" t="s">
        <v>33</v>
      </c>
      <c r="G156" s="11" t="s">
        <v>53</v>
      </c>
      <c r="H156" s="11" t="s">
        <v>54</v>
      </c>
    </row>
    <row r="157" customFormat="false" ht="15" hidden="false" customHeight="true" outlineLevel="0" collapsed="false">
      <c r="A157" s="10" t="s">
        <v>212</v>
      </c>
      <c r="B157" s="10" t="s">
        <v>31</v>
      </c>
      <c r="C157" s="10" t="s">
        <v>32</v>
      </c>
      <c r="D157" s="10" t="s">
        <v>39</v>
      </c>
      <c r="E157" s="10"/>
      <c r="F157" s="10" t="s">
        <v>39</v>
      </c>
      <c r="G157" s="10" t="s">
        <v>48</v>
      </c>
      <c r="H157" s="10" t="s">
        <v>49</v>
      </c>
    </row>
    <row r="158" customFormat="false" ht="15" hidden="false" customHeight="true" outlineLevel="0" collapsed="false">
      <c r="A158" s="10" t="s">
        <v>213</v>
      </c>
      <c r="B158" s="10" t="s">
        <v>31</v>
      </c>
      <c r="C158" s="10" t="s">
        <v>32</v>
      </c>
      <c r="D158" s="10" t="s">
        <v>39</v>
      </c>
      <c r="E158" s="10"/>
      <c r="F158" s="10" t="s">
        <v>39</v>
      </c>
      <c r="G158" s="10" t="s">
        <v>48</v>
      </c>
      <c r="H158" s="10" t="s">
        <v>49</v>
      </c>
    </row>
    <row r="159" customFormat="false" ht="15" hidden="false" customHeight="true" outlineLevel="0" collapsed="false">
      <c r="A159" s="11" t="s">
        <v>214</v>
      </c>
      <c r="B159" s="11" t="s">
        <v>31</v>
      </c>
      <c r="C159" s="11" t="s">
        <v>32</v>
      </c>
      <c r="D159" s="11" t="s">
        <v>33</v>
      </c>
      <c r="E159" s="11"/>
      <c r="F159" s="11" t="s">
        <v>33</v>
      </c>
      <c r="G159" s="11" t="s">
        <v>53</v>
      </c>
      <c r="H159" s="11" t="s">
        <v>54</v>
      </c>
    </row>
    <row r="160" customFormat="false" ht="15" hidden="false" customHeight="true" outlineLevel="0" collapsed="false">
      <c r="A160" s="11" t="s">
        <v>215</v>
      </c>
      <c r="B160" s="11" t="s">
        <v>31</v>
      </c>
      <c r="C160" s="11" t="s">
        <v>32</v>
      </c>
      <c r="D160" s="11" t="s">
        <v>33</v>
      </c>
      <c r="E160" s="11"/>
      <c r="F160" s="11" t="s">
        <v>33</v>
      </c>
      <c r="G160" s="11" t="s">
        <v>53</v>
      </c>
      <c r="H160" s="11" t="s">
        <v>54</v>
      </c>
    </row>
    <row r="161" customFormat="false" ht="15" hidden="false" customHeight="true" outlineLevel="0" collapsed="false">
      <c r="A161" s="11" t="s">
        <v>216</v>
      </c>
      <c r="B161" s="11" t="s">
        <v>31</v>
      </c>
      <c r="C161" s="11" t="s">
        <v>32</v>
      </c>
      <c r="D161" s="11" t="s">
        <v>33</v>
      </c>
      <c r="E161" s="11"/>
      <c r="F161" s="11" t="s">
        <v>33</v>
      </c>
      <c r="G161" s="11" t="s">
        <v>53</v>
      </c>
      <c r="H161" s="11" t="s">
        <v>54</v>
      </c>
    </row>
    <row r="162" customFormat="false" ht="15" hidden="false" customHeight="true" outlineLevel="0" collapsed="false">
      <c r="A162" s="11" t="s">
        <v>217</v>
      </c>
      <c r="B162" s="11" t="s">
        <v>31</v>
      </c>
      <c r="C162" s="11" t="s">
        <v>32</v>
      </c>
      <c r="D162" s="11" t="s">
        <v>33</v>
      </c>
      <c r="E162" s="11"/>
      <c r="F162" s="11" t="s">
        <v>33</v>
      </c>
      <c r="G162" s="11" t="s">
        <v>53</v>
      </c>
      <c r="H162" s="11" t="s">
        <v>54</v>
      </c>
    </row>
    <row r="163" customFormat="false" ht="15" hidden="false" customHeight="true" outlineLevel="0" collapsed="false">
      <c r="A163" s="10" t="s">
        <v>218</v>
      </c>
      <c r="B163" s="10" t="s">
        <v>31</v>
      </c>
      <c r="C163" s="10" t="s">
        <v>32</v>
      </c>
      <c r="D163" s="10" t="s">
        <v>39</v>
      </c>
      <c r="E163" s="10"/>
      <c r="F163" s="10" t="s">
        <v>39</v>
      </c>
      <c r="G163" s="10" t="s">
        <v>48</v>
      </c>
      <c r="H163" s="10" t="s">
        <v>49</v>
      </c>
    </row>
    <row r="164" customFormat="false" ht="15" hidden="false" customHeight="true" outlineLevel="0" collapsed="false">
      <c r="A164" s="10" t="s">
        <v>219</v>
      </c>
      <c r="B164" s="10" t="s">
        <v>31</v>
      </c>
      <c r="C164" s="10" t="s">
        <v>32</v>
      </c>
      <c r="D164" s="10" t="s">
        <v>39</v>
      </c>
      <c r="E164" s="10"/>
      <c r="F164" s="10" t="s">
        <v>39</v>
      </c>
      <c r="G164" s="10" t="s">
        <v>48</v>
      </c>
      <c r="H164" s="10" t="s">
        <v>49</v>
      </c>
    </row>
    <row r="165" customFormat="false" ht="15" hidden="false" customHeight="true" outlineLevel="0" collapsed="false">
      <c r="A165" s="10" t="s">
        <v>220</v>
      </c>
      <c r="B165" s="10" t="s">
        <v>31</v>
      </c>
      <c r="C165" s="10" t="s">
        <v>32</v>
      </c>
      <c r="D165" s="10" t="s">
        <v>39</v>
      </c>
      <c r="E165" s="10"/>
      <c r="F165" s="10" t="s">
        <v>39</v>
      </c>
      <c r="G165" s="10" t="s">
        <v>48</v>
      </c>
      <c r="H165" s="10" t="s">
        <v>49</v>
      </c>
    </row>
    <row r="166" customFormat="false" ht="15" hidden="false" customHeight="true" outlineLevel="0" collapsed="false">
      <c r="A166" s="10" t="s">
        <v>221</v>
      </c>
      <c r="B166" s="10" t="s">
        <v>31</v>
      </c>
      <c r="C166" s="10" t="s">
        <v>32</v>
      </c>
      <c r="D166" s="10" t="s">
        <v>39</v>
      </c>
      <c r="E166" s="10"/>
      <c r="F166" s="10" t="s">
        <v>39</v>
      </c>
      <c r="G166" s="10" t="s">
        <v>48</v>
      </c>
      <c r="H166" s="10" t="s">
        <v>49</v>
      </c>
    </row>
    <row r="167" customFormat="false" ht="15" hidden="false" customHeight="true" outlineLevel="0" collapsed="false">
      <c r="A167" s="10" t="s">
        <v>222</v>
      </c>
      <c r="B167" s="10" t="s">
        <v>31</v>
      </c>
      <c r="C167" s="10" t="s">
        <v>32</v>
      </c>
      <c r="D167" s="10" t="s">
        <v>39</v>
      </c>
      <c r="E167" s="10"/>
      <c r="F167" s="10" t="s">
        <v>39</v>
      </c>
      <c r="G167" s="10" t="s">
        <v>48</v>
      </c>
      <c r="H167" s="10" t="s">
        <v>49</v>
      </c>
    </row>
    <row r="168" customFormat="false" ht="15" hidden="false" customHeight="true" outlineLevel="0" collapsed="false">
      <c r="A168" s="10" t="s">
        <v>223</v>
      </c>
      <c r="B168" s="10" t="s">
        <v>31</v>
      </c>
      <c r="C168" s="10" t="s">
        <v>32</v>
      </c>
      <c r="D168" s="10" t="s">
        <v>39</v>
      </c>
      <c r="E168" s="10"/>
      <c r="F168" s="10" t="s">
        <v>39</v>
      </c>
      <c r="G168" s="10" t="s">
        <v>48</v>
      </c>
      <c r="H168" s="10" t="s">
        <v>49</v>
      </c>
    </row>
    <row r="169" customFormat="false" ht="15" hidden="false" customHeight="true" outlineLevel="0" collapsed="false">
      <c r="A169" s="10" t="s">
        <v>224</v>
      </c>
      <c r="B169" s="10" t="s">
        <v>31</v>
      </c>
      <c r="C169" s="10" t="s">
        <v>32</v>
      </c>
      <c r="D169" s="10" t="s">
        <v>39</v>
      </c>
      <c r="E169" s="10"/>
      <c r="F169" s="10" t="s">
        <v>39</v>
      </c>
      <c r="G169" s="10" t="s">
        <v>48</v>
      </c>
      <c r="H169" s="10" t="s">
        <v>49</v>
      </c>
    </row>
    <row r="170" customFormat="false" ht="15" hidden="false" customHeight="true" outlineLevel="0" collapsed="false">
      <c r="A170" s="10" t="s">
        <v>225</v>
      </c>
      <c r="B170" s="10" t="s">
        <v>31</v>
      </c>
      <c r="C170" s="10" t="s">
        <v>32</v>
      </c>
      <c r="D170" s="10" t="s">
        <v>39</v>
      </c>
      <c r="E170" s="10"/>
      <c r="F170" s="10" t="s">
        <v>39</v>
      </c>
      <c r="G170" s="10" t="s">
        <v>48</v>
      </c>
      <c r="H170" s="10" t="s">
        <v>49</v>
      </c>
    </row>
    <row r="171" customFormat="false" ht="15" hidden="false" customHeight="true" outlineLevel="0" collapsed="false">
      <c r="A171" s="10" t="s">
        <v>226</v>
      </c>
      <c r="B171" s="10" t="s">
        <v>31</v>
      </c>
      <c r="C171" s="10" t="s">
        <v>32</v>
      </c>
      <c r="D171" s="10" t="s">
        <v>39</v>
      </c>
      <c r="E171" s="10"/>
      <c r="F171" s="10" t="s">
        <v>39</v>
      </c>
      <c r="G171" s="10" t="s">
        <v>48</v>
      </c>
      <c r="H171" s="10" t="s">
        <v>49</v>
      </c>
    </row>
    <row r="172" customFormat="false" ht="15" hidden="false" customHeight="true" outlineLevel="0" collapsed="false">
      <c r="A172" s="10" t="s">
        <v>227</v>
      </c>
      <c r="B172" s="10" t="s">
        <v>31</v>
      </c>
      <c r="C172" s="10" t="s">
        <v>32</v>
      </c>
      <c r="D172" s="10" t="s">
        <v>39</v>
      </c>
      <c r="E172" s="10"/>
      <c r="F172" s="10" t="s">
        <v>39</v>
      </c>
      <c r="G172" s="10" t="s">
        <v>48</v>
      </c>
      <c r="H172" s="10" t="s">
        <v>49</v>
      </c>
    </row>
    <row r="173" customFormat="false" ht="15" hidden="false" customHeight="true" outlineLevel="0" collapsed="false">
      <c r="A173" s="10" t="s">
        <v>228</v>
      </c>
      <c r="B173" s="10" t="s">
        <v>31</v>
      </c>
      <c r="C173" s="10" t="s">
        <v>32</v>
      </c>
      <c r="D173" s="10" t="s">
        <v>39</v>
      </c>
      <c r="E173" s="10"/>
      <c r="F173" s="10" t="s">
        <v>39</v>
      </c>
      <c r="G173" s="10" t="s">
        <v>48</v>
      </c>
      <c r="H173" s="10" t="s">
        <v>49</v>
      </c>
    </row>
    <row r="174" customFormat="false" ht="15" hidden="false" customHeight="true" outlineLevel="0" collapsed="false">
      <c r="A174" s="10" t="s">
        <v>229</v>
      </c>
      <c r="B174" s="10" t="s">
        <v>31</v>
      </c>
      <c r="C174" s="10" t="s">
        <v>32</v>
      </c>
      <c r="D174" s="10" t="s">
        <v>39</v>
      </c>
      <c r="E174" s="10"/>
      <c r="F174" s="10" t="s">
        <v>39</v>
      </c>
      <c r="G174" s="10" t="s">
        <v>48</v>
      </c>
      <c r="H174" s="10" t="s">
        <v>49</v>
      </c>
    </row>
    <row r="175" customFormat="false" ht="15" hidden="false" customHeight="true" outlineLevel="0" collapsed="false">
      <c r="A175" s="11" t="s">
        <v>230</v>
      </c>
      <c r="B175" s="11" t="s">
        <v>31</v>
      </c>
      <c r="C175" s="11" t="s">
        <v>32</v>
      </c>
      <c r="D175" s="11" t="s">
        <v>39</v>
      </c>
      <c r="E175" s="11" t="s">
        <v>231</v>
      </c>
      <c r="F175" s="11" t="s">
        <v>33</v>
      </c>
      <c r="G175" s="11" t="s">
        <v>78</v>
      </c>
      <c r="H175" s="11" t="s">
        <v>54</v>
      </c>
    </row>
    <row r="176" customFormat="false" ht="15" hidden="false" customHeight="true" outlineLevel="0" collapsed="false">
      <c r="A176" s="10" t="s">
        <v>232</v>
      </c>
      <c r="B176" s="10" t="s">
        <v>31</v>
      </c>
      <c r="C176" s="10" t="s">
        <v>32</v>
      </c>
      <c r="D176" s="10" t="s">
        <v>39</v>
      </c>
      <c r="E176" s="10"/>
      <c r="F176" s="10" t="s">
        <v>39</v>
      </c>
      <c r="G176" s="10" t="s">
        <v>48</v>
      </c>
      <c r="H176" s="10" t="s">
        <v>49</v>
      </c>
    </row>
    <row r="177" customFormat="false" ht="15" hidden="false" customHeight="true" outlineLevel="0" collapsed="false">
      <c r="A177" s="10" t="s">
        <v>233</v>
      </c>
      <c r="B177" s="10" t="s">
        <v>31</v>
      </c>
      <c r="C177" s="10" t="s">
        <v>32</v>
      </c>
      <c r="D177" s="10" t="s">
        <v>39</v>
      </c>
      <c r="E177" s="10"/>
      <c r="F177" s="10" t="s">
        <v>39</v>
      </c>
      <c r="G177" s="10" t="s">
        <v>48</v>
      </c>
      <c r="H177" s="10" t="s">
        <v>49</v>
      </c>
    </row>
    <row r="178" customFormat="false" ht="15" hidden="false" customHeight="true" outlineLevel="0" collapsed="false">
      <c r="A178" s="11" t="s">
        <v>234</v>
      </c>
      <c r="B178" s="11" t="s">
        <v>31</v>
      </c>
      <c r="C178" s="11" t="s">
        <v>32</v>
      </c>
      <c r="D178" s="11" t="s">
        <v>39</v>
      </c>
      <c r="E178" s="11" t="s">
        <v>61</v>
      </c>
      <c r="F178" s="11" t="s">
        <v>33</v>
      </c>
      <c r="G178" s="11" t="s">
        <v>78</v>
      </c>
      <c r="H178" s="11" t="s">
        <v>54</v>
      </c>
    </row>
    <row r="179" customFormat="false" ht="15" hidden="false" customHeight="true" outlineLevel="0" collapsed="false">
      <c r="A179" s="10" t="s">
        <v>235</v>
      </c>
      <c r="B179" s="10" t="s">
        <v>31</v>
      </c>
      <c r="C179" s="10" t="s">
        <v>32</v>
      </c>
      <c r="D179" s="10" t="s">
        <v>39</v>
      </c>
      <c r="E179" s="10"/>
      <c r="F179" s="10" t="s">
        <v>39</v>
      </c>
      <c r="G179" s="10" t="s">
        <v>48</v>
      </c>
      <c r="H179" s="10" t="s">
        <v>49</v>
      </c>
    </row>
    <row r="180" customFormat="false" ht="15" hidden="false" customHeight="true" outlineLevel="0" collapsed="false">
      <c r="A180" s="10" t="s">
        <v>236</v>
      </c>
      <c r="B180" s="10" t="s">
        <v>31</v>
      </c>
      <c r="C180" s="10" t="s">
        <v>32</v>
      </c>
      <c r="D180" s="10" t="s">
        <v>39</v>
      </c>
      <c r="E180" s="10"/>
      <c r="F180" s="10" t="s">
        <v>39</v>
      </c>
      <c r="G180" s="10" t="s">
        <v>48</v>
      </c>
      <c r="H180" s="10" t="s">
        <v>49</v>
      </c>
    </row>
    <row r="181" customFormat="false" ht="15" hidden="false" customHeight="true" outlineLevel="0" collapsed="false">
      <c r="A181" s="10" t="s">
        <v>237</v>
      </c>
      <c r="B181" s="10" t="s">
        <v>31</v>
      </c>
      <c r="C181" s="10" t="s">
        <v>32</v>
      </c>
      <c r="D181" s="10" t="s">
        <v>39</v>
      </c>
      <c r="E181" s="10"/>
      <c r="F181" s="10" t="s">
        <v>39</v>
      </c>
      <c r="G181" s="10" t="s">
        <v>48</v>
      </c>
      <c r="H181" s="10" t="s">
        <v>49</v>
      </c>
    </row>
    <row r="182" customFormat="false" ht="15" hidden="false" customHeight="true" outlineLevel="0" collapsed="false">
      <c r="A182" s="9" t="s">
        <v>238</v>
      </c>
      <c r="B182" s="9" t="s">
        <v>31</v>
      </c>
      <c r="C182" s="9" t="s">
        <v>32</v>
      </c>
      <c r="D182" s="9" t="s">
        <v>33</v>
      </c>
      <c r="E182" s="9" t="s">
        <v>61</v>
      </c>
      <c r="F182" s="9" t="s">
        <v>33</v>
      </c>
      <c r="G182" s="9" t="s">
        <v>62</v>
      </c>
      <c r="H182" s="9" t="s">
        <v>36</v>
      </c>
    </row>
    <row r="183" customFormat="false" ht="15" hidden="false" customHeight="true" outlineLevel="0" collapsed="false">
      <c r="A183" s="10" t="s">
        <v>239</v>
      </c>
      <c r="B183" s="10" t="s">
        <v>31</v>
      </c>
      <c r="C183" s="10" t="s">
        <v>32</v>
      </c>
      <c r="D183" s="10" t="s">
        <v>39</v>
      </c>
      <c r="E183" s="10"/>
      <c r="F183" s="10" t="s">
        <v>39</v>
      </c>
      <c r="G183" s="10" t="s">
        <v>48</v>
      </c>
      <c r="H183" s="10" t="s">
        <v>49</v>
      </c>
    </row>
    <row r="184" customFormat="false" ht="15" hidden="false" customHeight="true" outlineLevel="0" collapsed="false">
      <c r="A184" s="9" t="s">
        <v>240</v>
      </c>
      <c r="B184" s="9" t="s">
        <v>31</v>
      </c>
      <c r="C184" s="9" t="s">
        <v>32</v>
      </c>
      <c r="D184" s="9" t="s">
        <v>33</v>
      </c>
      <c r="E184" s="9" t="s">
        <v>61</v>
      </c>
      <c r="F184" s="9" t="s">
        <v>39</v>
      </c>
      <c r="G184" s="9" t="s">
        <v>62</v>
      </c>
      <c r="H184" s="9" t="s">
        <v>36</v>
      </c>
    </row>
    <row r="185" customFormat="false" ht="15" hidden="false" customHeight="true" outlineLevel="0" collapsed="false">
      <c r="A185" s="10" t="s">
        <v>241</v>
      </c>
      <c r="B185" s="10" t="s">
        <v>31</v>
      </c>
      <c r="C185" s="10" t="s">
        <v>32</v>
      </c>
      <c r="D185" s="10" t="s">
        <v>39</v>
      </c>
      <c r="E185" s="10"/>
      <c r="F185" s="10" t="s">
        <v>39</v>
      </c>
      <c r="G185" s="10" t="s">
        <v>48</v>
      </c>
      <c r="H185" s="10" t="s">
        <v>49</v>
      </c>
    </row>
    <row r="186" customFormat="false" ht="15" hidden="false" customHeight="true" outlineLevel="0" collapsed="false">
      <c r="A186" s="10" t="s">
        <v>242</v>
      </c>
      <c r="B186" s="10" t="s">
        <v>31</v>
      </c>
      <c r="C186" s="10" t="s">
        <v>32</v>
      </c>
      <c r="D186" s="10" t="s">
        <v>39</v>
      </c>
      <c r="E186" s="10"/>
      <c r="F186" s="10" t="s">
        <v>39</v>
      </c>
      <c r="G186" s="10" t="s">
        <v>48</v>
      </c>
      <c r="H186" s="10" t="s">
        <v>49</v>
      </c>
    </row>
    <row r="187" customFormat="false" ht="15" hidden="false" customHeight="true" outlineLevel="0" collapsed="false">
      <c r="A187" s="10" t="s">
        <v>243</v>
      </c>
      <c r="B187" s="10" t="s">
        <v>31</v>
      </c>
      <c r="C187" s="10" t="s">
        <v>32</v>
      </c>
      <c r="D187" s="10" t="s">
        <v>39</v>
      </c>
      <c r="E187" s="10"/>
      <c r="F187" s="10" t="s">
        <v>39</v>
      </c>
      <c r="G187" s="10" t="s">
        <v>48</v>
      </c>
      <c r="H187" s="10" t="s">
        <v>49</v>
      </c>
    </row>
    <row r="188" customFormat="false" ht="15" hidden="false" customHeight="true" outlineLevel="0" collapsed="false">
      <c r="A188" s="10" t="s">
        <v>244</v>
      </c>
      <c r="B188" s="10" t="s">
        <v>31</v>
      </c>
      <c r="C188" s="10" t="s">
        <v>32</v>
      </c>
      <c r="D188" s="10" t="s">
        <v>39</v>
      </c>
      <c r="E188" s="10"/>
      <c r="F188" s="10" t="s">
        <v>39</v>
      </c>
      <c r="G188" s="10" t="s">
        <v>48</v>
      </c>
      <c r="H188" s="10" t="s">
        <v>49</v>
      </c>
    </row>
    <row r="189" customFormat="false" ht="15" hidden="false" customHeight="true" outlineLevel="0" collapsed="false">
      <c r="A189" s="11" t="s">
        <v>245</v>
      </c>
      <c r="B189" s="11" t="s">
        <v>31</v>
      </c>
      <c r="C189" s="11" t="s">
        <v>32</v>
      </c>
      <c r="D189" s="11" t="s">
        <v>39</v>
      </c>
      <c r="E189" s="11"/>
      <c r="F189" s="11" t="s">
        <v>39</v>
      </c>
      <c r="G189" s="11" t="s">
        <v>48</v>
      </c>
      <c r="H189" s="11" t="s">
        <v>246</v>
      </c>
    </row>
    <row r="190" customFormat="false" ht="15" hidden="false" customHeight="true" outlineLevel="0" collapsed="false">
      <c r="A190" s="10" t="s">
        <v>247</v>
      </c>
      <c r="B190" s="10" t="s">
        <v>31</v>
      </c>
      <c r="C190" s="10" t="s">
        <v>32</v>
      </c>
      <c r="D190" s="10" t="s">
        <v>39</v>
      </c>
      <c r="E190" s="10"/>
      <c r="F190" s="10" t="s">
        <v>39</v>
      </c>
      <c r="G190" s="10" t="s">
        <v>48</v>
      </c>
      <c r="H190" s="10" t="s">
        <v>49</v>
      </c>
    </row>
    <row r="191" customFormat="false" ht="15" hidden="false" customHeight="true" outlineLevel="0" collapsed="false">
      <c r="A191" s="10" t="s">
        <v>248</v>
      </c>
      <c r="B191" s="10" t="s">
        <v>31</v>
      </c>
      <c r="C191" s="10" t="s">
        <v>32</v>
      </c>
      <c r="D191" s="10" t="s">
        <v>39</v>
      </c>
      <c r="E191" s="10"/>
      <c r="F191" s="10" t="s">
        <v>39</v>
      </c>
      <c r="G191" s="10" t="s">
        <v>48</v>
      </c>
      <c r="H191" s="10" t="s">
        <v>49</v>
      </c>
    </row>
    <row r="192" customFormat="false" ht="15" hidden="false" customHeight="true" outlineLevel="0" collapsed="false">
      <c r="A192" s="10" t="s">
        <v>249</v>
      </c>
      <c r="B192" s="10" t="s">
        <v>31</v>
      </c>
      <c r="C192" s="10" t="s">
        <v>32</v>
      </c>
      <c r="D192" s="10" t="s">
        <v>39</v>
      </c>
      <c r="E192" s="10"/>
      <c r="F192" s="10" t="s">
        <v>39</v>
      </c>
      <c r="G192" s="10" t="s">
        <v>48</v>
      </c>
      <c r="H192" s="10" t="s">
        <v>49</v>
      </c>
    </row>
    <row r="193" customFormat="false" ht="15" hidden="false" customHeight="true" outlineLevel="0" collapsed="false">
      <c r="A193" s="10" t="s">
        <v>250</v>
      </c>
      <c r="B193" s="10" t="s">
        <v>31</v>
      </c>
      <c r="C193" s="10" t="s">
        <v>32</v>
      </c>
      <c r="D193" s="10" t="s">
        <v>39</v>
      </c>
      <c r="E193" s="10"/>
      <c r="F193" s="10" t="s">
        <v>39</v>
      </c>
      <c r="G193" s="10" t="s">
        <v>48</v>
      </c>
      <c r="H193" s="10" t="s">
        <v>49</v>
      </c>
    </row>
    <row r="194" customFormat="false" ht="15" hidden="false" customHeight="true" outlineLevel="0" collapsed="false">
      <c r="A194" s="10" t="s">
        <v>251</v>
      </c>
      <c r="B194" s="10" t="s">
        <v>31</v>
      </c>
      <c r="C194" s="10" t="s">
        <v>32</v>
      </c>
      <c r="D194" s="10" t="s">
        <v>39</v>
      </c>
      <c r="E194" s="10"/>
      <c r="F194" s="10" t="s">
        <v>39</v>
      </c>
      <c r="G194" s="10" t="s">
        <v>48</v>
      </c>
      <c r="H194" s="10" t="s">
        <v>49</v>
      </c>
    </row>
    <row r="195" customFormat="false" ht="15" hidden="false" customHeight="true" outlineLevel="0" collapsed="false">
      <c r="A195" s="10" t="s">
        <v>252</v>
      </c>
      <c r="B195" s="10" t="s">
        <v>31</v>
      </c>
      <c r="C195" s="10" t="s">
        <v>32</v>
      </c>
      <c r="D195" s="10" t="s">
        <v>39</v>
      </c>
      <c r="E195" s="10"/>
      <c r="F195" s="10" t="s">
        <v>39</v>
      </c>
      <c r="G195" s="10" t="s">
        <v>48</v>
      </c>
      <c r="H195" s="10" t="s">
        <v>49</v>
      </c>
    </row>
    <row r="196" customFormat="false" ht="15" hidden="false" customHeight="true" outlineLevel="0" collapsed="false">
      <c r="A196" s="9" t="s">
        <v>253</v>
      </c>
      <c r="B196" s="9" t="s">
        <v>31</v>
      </c>
      <c r="C196" s="9" t="s">
        <v>32</v>
      </c>
      <c r="D196" s="9" t="s">
        <v>33</v>
      </c>
      <c r="E196" s="9" t="s">
        <v>61</v>
      </c>
      <c r="F196" s="9" t="s">
        <v>33</v>
      </c>
      <c r="G196" s="9" t="s">
        <v>62</v>
      </c>
      <c r="H196" s="9" t="s">
        <v>36</v>
      </c>
    </row>
    <row r="197" customFormat="false" ht="15" hidden="false" customHeight="true" outlineLevel="0" collapsed="false">
      <c r="A197" s="10" t="s">
        <v>254</v>
      </c>
      <c r="B197" s="10" t="s">
        <v>31</v>
      </c>
      <c r="C197" s="10" t="s">
        <v>32</v>
      </c>
      <c r="D197" s="10" t="s">
        <v>39</v>
      </c>
      <c r="E197" s="10"/>
      <c r="F197" s="10" t="s">
        <v>39</v>
      </c>
      <c r="G197" s="10" t="s">
        <v>48</v>
      </c>
      <c r="H197" s="10" t="s">
        <v>49</v>
      </c>
    </row>
    <row r="198" customFormat="false" ht="15" hidden="false" customHeight="true" outlineLevel="0" collapsed="false">
      <c r="A198" s="9" t="s">
        <v>255</v>
      </c>
      <c r="B198" s="9" t="s">
        <v>31</v>
      </c>
      <c r="C198" s="9" t="s">
        <v>32</v>
      </c>
      <c r="D198" s="9" t="s">
        <v>33</v>
      </c>
      <c r="E198" s="9" t="s">
        <v>61</v>
      </c>
      <c r="F198" s="9" t="s">
        <v>33</v>
      </c>
      <c r="G198" s="9" t="s">
        <v>62</v>
      </c>
      <c r="H198" s="9" t="s">
        <v>36</v>
      </c>
    </row>
    <row r="199" customFormat="false" ht="15" hidden="false" customHeight="true" outlineLevel="0" collapsed="false">
      <c r="A199" s="10" t="s">
        <v>256</v>
      </c>
      <c r="B199" s="10" t="s">
        <v>31</v>
      </c>
      <c r="C199" s="10" t="s">
        <v>32</v>
      </c>
      <c r="D199" s="10" t="s">
        <v>39</v>
      </c>
      <c r="E199" s="10"/>
      <c r="F199" s="10" t="s">
        <v>39</v>
      </c>
      <c r="G199" s="10" t="s">
        <v>48</v>
      </c>
      <c r="H199" s="10" t="s">
        <v>49</v>
      </c>
    </row>
    <row r="200" customFormat="false" ht="15" hidden="false" customHeight="true" outlineLevel="0" collapsed="false">
      <c r="A200" s="10" t="s">
        <v>257</v>
      </c>
      <c r="B200" s="10" t="s">
        <v>31</v>
      </c>
      <c r="C200" s="10" t="s">
        <v>32</v>
      </c>
      <c r="D200" s="10" t="s">
        <v>39</v>
      </c>
      <c r="E200" s="10"/>
      <c r="F200" s="10" t="s">
        <v>39</v>
      </c>
      <c r="G200" s="10" t="s">
        <v>48</v>
      </c>
      <c r="H200" s="10" t="s">
        <v>49</v>
      </c>
    </row>
    <row r="201" customFormat="false" ht="15" hidden="false" customHeight="true" outlineLevel="0" collapsed="false">
      <c r="A201" s="10" t="s">
        <v>258</v>
      </c>
      <c r="B201" s="10" t="s">
        <v>31</v>
      </c>
      <c r="C201" s="10" t="s">
        <v>32</v>
      </c>
      <c r="D201" s="10" t="s">
        <v>39</v>
      </c>
      <c r="E201" s="10"/>
      <c r="F201" s="10" t="s">
        <v>39</v>
      </c>
      <c r="G201" s="10" t="s">
        <v>48</v>
      </c>
      <c r="H201" s="10" t="s">
        <v>49</v>
      </c>
    </row>
    <row r="202" customFormat="false" ht="15" hidden="false" customHeight="true" outlineLevel="0" collapsed="false">
      <c r="A202" s="9" t="s">
        <v>259</v>
      </c>
      <c r="B202" s="9" t="s">
        <v>31</v>
      </c>
      <c r="C202" s="9" t="s">
        <v>32</v>
      </c>
      <c r="D202" s="9" t="s">
        <v>33</v>
      </c>
      <c r="E202" s="9" t="s">
        <v>231</v>
      </c>
      <c r="F202" s="9" t="s">
        <v>33</v>
      </c>
      <c r="G202" s="9" t="s">
        <v>260</v>
      </c>
      <c r="H202" s="9" t="s">
        <v>36</v>
      </c>
    </row>
    <row r="203" customFormat="false" ht="15" hidden="false" customHeight="true" outlineLevel="0" collapsed="false">
      <c r="A203" s="10" t="s">
        <v>261</v>
      </c>
      <c r="B203" s="10" t="s">
        <v>31</v>
      </c>
      <c r="C203" s="10" t="s">
        <v>32</v>
      </c>
      <c r="D203" s="10" t="s">
        <v>39</v>
      </c>
      <c r="E203" s="10"/>
      <c r="F203" s="10" t="s">
        <v>39</v>
      </c>
      <c r="G203" s="10" t="s">
        <v>48</v>
      </c>
      <c r="H203" s="10" t="s">
        <v>49</v>
      </c>
    </row>
    <row r="204" customFormat="false" ht="15" hidden="false" customHeight="true" outlineLevel="0" collapsed="false">
      <c r="A204" s="10" t="s">
        <v>262</v>
      </c>
      <c r="B204" s="10" t="s">
        <v>31</v>
      </c>
      <c r="C204" s="10" t="s">
        <v>32</v>
      </c>
      <c r="D204" s="10" t="s">
        <v>39</v>
      </c>
      <c r="E204" s="10"/>
      <c r="F204" s="10" t="s">
        <v>39</v>
      </c>
      <c r="G204" s="10" t="s">
        <v>48</v>
      </c>
      <c r="H204" s="10" t="s">
        <v>49</v>
      </c>
    </row>
  </sheetData>
  <autoFilter ref="A1:H20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2"/>
    <col collapsed="false" customWidth="true" hidden="false" outlineLevel="0" max="3" min="3" style="1" width="62"/>
    <col collapsed="false" customWidth="true" hidden="false" outlineLevel="0" max="6" min="4" style="1" width="18"/>
    <col collapsed="false" customWidth="true" hidden="false" outlineLevel="0" max="7" min="7" style="1" width="14"/>
    <col collapsed="false" customWidth="true" hidden="false" outlineLevel="0" max="8" min="8" style="1" width="12"/>
  </cols>
  <sheetData>
    <row r="1" customFormat="false" ht="23.25" hidden="false" customHeight="true" outlineLevel="0" collapsed="false">
      <c r="A1" s="8" t="s">
        <v>22</v>
      </c>
      <c r="B1" s="8" t="s">
        <v>263</v>
      </c>
      <c r="C1" s="8" t="s">
        <v>264</v>
      </c>
      <c r="D1" s="8" t="s">
        <v>265</v>
      </c>
      <c r="E1" s="8" t="s">
        <v>266</v>
      </c>
      <c r="F1" s="8" t="s">
        <v>267</v>
      </c>
      <c r="G1" s="8" t="s">
        <v>268</v>
      </c>
      <c r="H1" s="8" t="s">
        <v>269</v>
      </c>
    </row>
    <row r="2" customFormat="false" ht="15" hidden="false" customHeight="true" outlineLevel="0" collapsed="false">
      <c r="A2" s="11" t="s">
        <v>270</v>
      </c>
      <c r="B2" s="11" t="s">
        <v>271</v>
      </c>
      <c r="C2" s="11" t="s">
        <v>272</v>
      </c>
      <c r="D2" s="11" t="s">
        <v>273</v>
      </c>
      <c r="E2" s="9"/>
      <c r="F2" s="9"/>
      <c r="G2" s="9"/>
      <c r="H2" s="9"/>
    </row>
    <row r="3" customFormat="false" ht="15" hidden="false" customHeight="true" outlineLevel="0" collapsed="false">
      <c r="A3" s="11" t="s">
        <v>274</v>
      </c>
      <c r="B3" s="11" t="s">
        <v>271</v>
      </c>
      <c r="C3" s="11" t="s">
        <v>272</v>
      </c>
      <c r="D3" s="11" t="s">
        <v>273</v>
      </c>
      <c r="E3" s="9"/>
      <c r="F3" s="9"/>
      <c r="G3" s="9"/>
      <c r="H3" s="9"/>
    </row>
    <row r="4" customFormat="false" ht="15" hidden="false" customHeight="true" outlineLevel="0" collapsed="false">
      <c r="A4" s="11" t="s">
        <v>275</v>
      </c>
      <c r="B4" s="11" t="s">
        <v>271</v>
      </c>
      <c r="C4" s="11" t="s">
        <v>276</v>
      </c>
      <c r="D4" s="11" t="s">
        <v>277</v>
      </c>
      <c r="E4" s="9"/>
      <c r="F4" s="9"/>
      <c r="G4" s="9"/>
      <c r="H4" s="9"/>
    </row>
    <row r="5" customFormat="false" ht="15" hidden="false" customHeight="true" outlineLevel="0" collapsed="false">
      <c r="A5" s="11" t="s">
        <v>278</v>
      </c>
      <c r="B5" s="11" t="s">
        <v>271</v>
      </c>
      <c r="C5" s="11" t="s">
        <v>276</v>
      </c>
      <c r="D5" s="11" t="s">
        <v>277</v>
      </c>
      <c r="E5" s="9"/>
      <c r="F5" s="9"/>
      <c r="G5" s="9"/>
      <c r="H5" s="9"/>
    </row>
    <row r="6" customFormat="false" ht="15" hidden="false" customHeight="true" outlineLevel="0" collapsed="false">
      <c r="A6" s="11" t="s">
        <v>279</v>
      </c>
      <c r="B6" s="11" t="s">
        <v>271</v>
      </c>
      <c r="C6" s="11" t="s">
        <v>272</v>
      </c>
      <c r="D6" s="11" t="s">
        <v>273</v>
      </c>
      <c r="E6" s="9"/>
      <c r="F6" s="9"/>
      <c r="G6" s="9"/>
      <c r="H6" s="9"/>
    </row>
    <row r="7" customFormat="false" ht="15" hidden="false" customHeight="true" outlineLevel="0" collapsed="false">
      <c r="A7" s="11" t="s">
        <v>280</v>
      </c>
      <c r="B7" s="11" t="s">
        <v>271</v>
      </c>
      <c r="C7" s="11" t="s">
        <v>276</v>
      </c>
      <c r="D7" s="11" t="s">
        <v>277</v>
      </c>
      <c r="E7" s="9"/>
      <c r="F7" s="9"/>
      <c r="G7" s="9"/>
      <c r="H7" s="9"/>
    </row>
    <row r="8" customFormat="false" ht="15" hidden="false" customHeight="true" outlineLevel="0" collapsed="false">
      <c r="A8" s="11" t="s">
        <v>52</v>
      </c>
      <c r="B8" s="11" t="s">
        <v>271</v>
      </c>
      <c r="C8" s="11" t="s">
        <v>281</v>
      </c>
      <c r="D8" s="11" t="s">
        <v>273</v>
      </c>
      <c r="E8" s="9"/>
      <c r="F8" s="9"/>
      <c r="G8" s="9"/>
      <c r="H8" s="9"/>
    </row>
    <row r="9" customFormat="false" ht="15" hidden="false" customHeight="true" outlineLevel="0" collapsed="false">
      <c r="A9" s="11" t="s">
        <v>69</v>
      </c>
      <c r="B9" s="11" t="s">
        <v>271</v>
      </c>
      <c r="C9" s="11" t="s">
        <v>281</v>
      </c>
      <c r="D9" s="11" t="s">
        <v>273</v>
      </c>
      <c r="E9" s="9"/>
      <c r="F9" s="9"/>
      <c r="G9" s="9"/>
      <c r="H9" s="9"/>
    </row>
    <row r="10" customFormat="false" ht="15" hidden="false" customHeight="true" outlineLevel="0" collapsed="false">
      <c r="A10" s="11" t="s">
        <v>70</v>
      </c>
      <c r="B10" s="11" t="s">
        <v>271</v>
      </c>
      <c r="C10" s="11" t="s">
        <v>281</v>
      </c>
      <c r="D10" s="11" t="s">
        <v>273</v>
      </c>
      <c r="E10" s="9"/>
      <c r="F10" s="9"/>
      <c r="G10" s="9"/>
      <c r="H10" s="9"/>
    </row>
    <row r="11" customFormat="false" ht="15" hidden="false" customHeight="true" outlineLevel="0" collapsed="false">
      <c r="A11" s="11" t="s">
        <v>73</v>
      </c>
      <c r="B11" s="11" t="s">
        <v>271</v>
      </c>
      <c r="C11" s="11" t="s">
        <v>281</v>
      </c>
      <c r="D11" s="11" t="s">
        <v>273</v>
      </c>
      <c r="E11" s="9"/>
      <c r="F11" s="9"/>
      <c r="G11" s="9"/>
      <c r="H11" s="9"/>
    </row>
    <row r="12" customFormat="false" ht="15" hidden="false" customHeight="true" outlineLevel="0" collapsed="false">
      <c r="A12" s="11" t="s">
        <v>76</v>
      </c>
      <c r="B12" s="11" t="s">
        <v>271</v>
      </c>
      <c r="C12" s="11" t="s">
        <v>282</v>
      </c>
      <c r="D12" s="11" t="s">
        <v>277</v>
      </c>
      <c r="E12" s="9"/>
      <c r="F12" s="9"/>
      <c r="G12" s="9"/>
      <c r="H12" s="9"/>
    </row>
    <row r="13" customFormat="false" ht="15" hidden="false" customHeight="true" outlineLevel="0" collapsed="false">
      <c r="A13" s="11" t="s">
        <v>79</v>
      </c>
      <c r="B13" s="11" t="s">
        <v>271</v>
      </c>
      <c r="C13" s="11" t="s">
        <v>282</v>
      </c>
      <c r="D13" s="11" t="s">
        <v>277</v>
      </c>
      <c r="E13" s="9"/>
      <c r="F13" s="9"/>
      <c r="G13" s="9"/>
      <c r="H13" s="9"/>
    </row>
    <row r="14" customFormat="false" ht="15" hidden="false" customHeight="true" outlineLevel="0" collapsed="false">
      <c r="A14" s="11" t="s">
        <v>80</v>
      </c>
      <c r="B14" s="11" t="s">
        <v>271</v>
      </c>
      <c r="C14" s="11" t="s">
        <v>282</v>
      </c>
      <c r="D14" s="11" t="s">
        <v>277</v>
      </c>
      <c r="E14" s="9"/>
      <c r="F14" s="9"/>
      <c r="G14" s="9"/>
      <c r="H14" s="9"/>
    </row>
    <row r="15" customFormat="false" ht="15" hidden="false" customHeight="true" outlineLevel="0" collapsed="false">
      <c r="A15" s="11" t="s">
        <v>82</v>
      </c>
      <c r="B15" s="11" t="s">
        <v>271</v>
      </c>
      <c r="C15" s="11" t="s">
        <v>281</v>
      </c>
      <c r="D15" s="11" t="s">
        <v>273</v>
      </c>
      <c r="E15" s="9"/>
      <c r="F15" s="9"/>
      <c r="G15" s="9"/>
      <c r="H15" s="9"/>
    </row>
    <row r="16" customFormat="false" ht="15" hidden="false" customHeight="true" outlineLevel="0" collapsed="false">
      <c r="A16" s="11" t="s">
        <v>87</v>
      </c>
      <c r="B16" s="11" t="s">
        <v>271</v>
      </c>
      <c r="C16" s="11" t="s">
        <v>281</v>
      </c>
      <c r="D16" s="11" t="s">
        <v>273</v>
      </c>
      <c r="E16" s="9"/>
      <c r="F16" s="9"/>
      <c r="G16" s="9"/>
      <c r="H16" s="9"/>
    </row>
    <row r="17" customFormat="false" ht="15" hidden="false" customHeight="true" outlineLevel="0" collapsed="false">
      <c r="A17" s="11" t="s">
        <v>152</v>
      </c>
      <c r="B17" s="11" t="s">
        <v>271</v>
      </c>
      <c r="C17" s="11" t="s">
        <v>281</v>
      </c>
      <c r="D17" s="11" t="s">
        <v>273</v>
      </c>
      <c r="E17" s="9"/>
      <c r="F17" s="9"/>
      <c r="G17" s="9"/>
      <c r="H17" s="9"/>
    </row>
    <row r="18" customFormat="false" ht="15" hidden="false" customHeight="true" outlineLevel="0" collapsed="false">
      <c r="A18" s="11" t="s">
        <v>157</v>
      </c>
      <c r="B18" s="11" t="s">
        <v>271</v>
      </c>
      <c r="C18" s="11" t="s">
        <v>281</v>
      </c>
      <c r="D18" s="11" t="s">
        <v>273</v>
      </c>
      <c r="E18" s="9"/>
      <c r="F18" s="9"/>
      <c r="G18" s="9"/>
      <c r="H18" s="9"/>
    </row>
    <row r="19" customFormat="false" ht="15" hidden="false" customHeight="true" outlineLevel="0" collapsed="false">
      <c r="A19" s="11" t="s">
        <v>158</v>
      </c>
      <c r="B19" s="11" t="s">
        <v>271</v>
      </c>
      <c r="C19" s="11" t="s">
        <v>281</v>
      </c>
      <c r="D19" s="11" t="s">
        <v>273</v>
      </c>
      <c r="E19" s="9"/>
      <c r="F19" s="9"/>
      <c r="G19" s="9"/>
      <c r="H19" s="9"/>
    </row>
    <row r="20" customFormat="false" ht="15" hidden="false" customHeight="true" outlineLevel="0" collapsed="false">
      <c r="A20" s="11" t="s">
        <v>159</v>
      </c>
      <c r="B20" s="11" t="s">
        <v>271</v>
      </c>
      <c r="C20" s="11" t="s">
        <v>281</v>
      </c>
      <c r="D20" s="11" t="s">
        <v>273</v>
      </c>
      <c r="E20" s="9"/>
      <c r="F20" s="9"/>
      <c r="G20" s="9"/>
      <c r="H20" s="9"/>
    </row>
    <row r="21" customFormat="false" ht="15" hidden="false" customHeight="true" outlineLevel="0" collapsed="false">
      <c r="A21" s="11" t="s">
        <v>160</v>
      </c>
      <c r="B21" s="11" t="s">
        <v>271</v>
      </c>
      <c r="C21" s="11" t="s">
        <v>281</v>
      </c>
      <c r="D21" s="11" t="s">
        <v>273</v>
      </c>
      <c r="E21" s="9"/>
      <c r="F21" s="9"/>
      <c r="G21" s="9"/>
      <c r="H21" s="9"/>
    </row>
    <row r="22" customFormat="false" ht="15" hidden="false" customHeight="true" outlineLevel="0" collapsed="false">
      <c r="A22" s="11" t="s">
        <v>163</v>
      </c>
      <c r="B22" s="11" t="s">
        <v>271</v>
      </c>
      <c r="C22" s="11" t="s">
        <v>281</v>
      </c>
      <c r="D22" s="11" t="s">
        <v>273</v>
      </c>
      <c r="E22" s="9"/>
      <c r="F22" s="9"/>
      <c r="G22" s="9"/>
      <c r="H22" s="9"/>
    </row>
    <row r="23" customFormat="false" ht="15" hidden="false" customHeight="true" outlineLevel="0" collapsed="false">
      <c r="A23" s="11" t="s">
        <v>169</v>
      </c>
      <c r="B23" s="11" t="s">
        <v>271</v>
      </c>
      <c r="C23" s="11" t="s">
        <v>281</v>
      </c>
      <c r="D23" s="11" t="s">
        <v>273</v>
      </c>
      <c r="E23" s="9"/>
      <c r="F23" s="9"/>
      <c r="G23" s="9"/>
      <c r="H23" s="9"/>
    </row>
    <row r="24" customFormat="false" ht="15" hidden="false" customHeight="true" outlineLevel="0" collapsed="false">
      <c r="A24" s="11" t="s">
        <v>193</v>
      </c>
      <c r="B24" s="11" t="s">
        <v>271</v>
      </c>
      <c r="C24" s="11" t="s">
        <v>281</v>
      </c>
      <c r="D24" s="11" t="s">
        <v>273</v>
      </c>
      <c r="E24" s="9"/>
      <c r="F24" s="9"/>
      <c r="G24" s="9"/>
      <c r="H24" s="9"/>
    </row>
    <row r="25" customFormat="false" ht="15" hidden="false" customHeight="true" outlineLevel="0" collapsed="false">
      <c r="A25" s="11" t="s">
        <v>194</v>
      </c>
      <c r="B25" s="11" t="s">
        <v>271</v>
      </c>
      <c r="C25" s="11" t="s">
        <v>281</v>
      </c>
      <c r="D25" s="11" t="s">
        <v>273</v>
      </c>
      <c r="E25" s="9"/>
      <c r="F25" s="9"/>
      <c r="G25" s="9"/>
      <c r="H25" s="9"/>
    </row>
    <row r="26" customFormat="false" ht="15" hidden="false" customHeight="true" outlineLevel="0" collapsed="false">
      <c r="A26" s="11" t="s">
        <v>195</v>
      </c>
      <c r="B26" s="11" t="s">
        <v>271</v>
      </c>
      <c r="C26" s="11" t="s">
        <v>281</v>
      </c>
      <c r="D26" s="11" t="s">
        <v>273</v>
      </c>
      <c r="E26" s="9"/>
      <c r="F26" s="9"/>
      <c r="G26" s="9"/>
      <c r="H26" s="9"/>
    </row>
    <row r="27" customFormat="false" ht="15" hidden="false" customHeight="true" outlineLevel="0" collapsed="false">
      <c r="A27" s="11" t="s">
        <v>196</v>
      </c>
      <c r="B27" s="11" t="s">
        <v>271</v>
      </c>
      <c r="C27" s="11" t="s">
        <v>281</v>
      </c>
      <c r="D27" s="11" t="s">
        <v>273</v>
      </c>
      <c r="E27" s="9"/>
      <c r="F27" s="9"/>
      <c r="G27" s="9"/>
      <c r="H27" s="9"/>
    </row>
    <row r="28" customFormat="false" ht="15" hidden="false" customHeight="true" outlineLevel="0" collapsed="false">
      <c r="A28" s="11" t="s">
        <v>197</v>
      </c>
      <c r="B28" s="11" t="s">
        <v>271</v>
      </c>
      <c r="C28" s="11" t="s">
        <v>281</v>
      </c>
      <c r="D28" s="11" t="s">
        <v>273</v>
      </c>
      <c r="E28" s="9"/>
      <c r="F28" s="9"/>
      <c r="G28" s="9"/>
      <c r="H28" s="9"/>
    </row>
    <row r="29" customFormat="false" ht="15" hidden="false" customHeight="true" outlineLevel="0" collapsed="false">
      <c r="A29" s="11" t="s">
        <v>198</v>
      </c>
      <c r="B29" s="11" t="s">
        <v>271</v>
      </c>
      <c r="C29" s="11" t="s">
        <v>281</v>
      </c>
      <c r="D29" s="11" t="s">
        <v>273</v>
      </c>
      <c r="E29" s="9"/>
      <c r="F29" s="9"/>
      <c r="G29" s="9"/>
      <c r="H29" s="9"/>
    </row>
    <row r="30" customFormat="false" ht="15" hidden="false" customHeight="true" outlineLevel="0" collapsed="false">
      <c r="A30" s="11" t="s">
        <v>199</v>
      </c>
      <c r="B30" s="11" t="s">
        <v>271</v>
      </c>
      <c r="C30" s="11" t="s">
        <v>281</v>
      </c>
      <c r="D30" s="11" t="s">
        <v>273</v>
      </c>
      <c r="E30" s="9"/>
      <c r="F30" s="9"/>
      <c r="G30" s="9"/>
      <c r="H30" s="9"/>
    </row>
    <row r="31" customFormat="false" ht="15" hidden="false" customHeight="true" outlineLevel="0" collapsed="false">
      <c r="A31" s="11" t="s">
        <v>200</v>
      </c>
      <c r="B31" s="11" t="s">
        <v>271</v>
      </c>
      <c r="C31" s="11" t="s">
        <v>281</v>
      </c>
      <c r="D31" s="11" t="s">
        <v>273</v>
      </c>
      <c r="E31" s="9"/>
      <c r="F31" s="9"/>
      <c r="G31" s="9"/>
      <c r="H31" s="9"/>
    </row>
    <row r="32" customFormat="false" ht="15" hidden="false" customHeight="true" outlineLevel="0" collapsed="false">
      <c r="A32" s="11" t="s">
        <v>203</v>
      </c>
      <c r="B32" s="11" t="s">
        <v>271</v>
      </c>
      <c r="C32" s="11" t="s">
        <v>281</v>
      </c>
      <c r="D32" s="11" t="s">
        <v>273</v>
      </c>
      <c r="E32" s="9"/>
      <c r="F32" s="9"/>
      <c r="G32" s="9"/>
      <c r="H32" s="9"/>
    </row>
    <row r="33" customFormat="false" ht="15" hidden="false" customHeight="true" outlineLevel="0" collapsed="false">
      <c r="A33" s="11" t="s">
        <v>207</v>
      </c>
      <c r="B33" s="11" t="s">
        <v>271</v>
      </c>
      <c r="C33" s="11" t="s">
        <v>281</v>
      </c>
      <c r="D33" s="11" t="s">
        <v>273</v>
      </c>
      <c r="E33" s="9"/>
      <c r="F33" s="9"/>
      <c r="G33" s="9"/>
      <c r="H33" s="9"/>
    </row>
    <row r="34" customFormat="false" ht="15" hidden="false" customHeight="true" outlineLevel="0" collapsed="false">
      <c r="A34" s="11" t="s">
        <v>208</v>
      </c>
      <c r="B34" s="11" t="s">
        <v>271</v>
      </c>
      <c r="C34" s="11" t="s">
        <v>281</v>
      </c>
      <c r="D34" s="11" t="s">
        <v>273</v>
      </c>
      <c r="E34" s="9"/>
      <c r="F34" s="9"/>
      <c r="G34" s="9"/>
      <c r="H34" s="9"/>
    </row>
    <row r="35" customFormat="false" ht="15" hidden="false" customHeight="true" outlineLevel="0" collapsed="false">
      <c r="A35" s="11" t="s">
        <v>211</v>
      </c>
      <c r="B35" s="11" t="s">
        <v>271</v>
      </c>
      <c r="C35" s="11" t="s">
        <v>281</v>
      </c>
      <c r="D35" s="11" t="s">
        <v>273</v>
      </c>
      <c r="E35" s="9"/>
      <c r="F35" s="9"/>
      <c r="G35" s="9"/>
      <c r="H35" s="9"/>
    </row>
    <row r="36" customFormat="false" ht="15" hidden="false" customHeight="true" outlineLevel="0" collapsed="false">
      <c r="A36" s="11" t="s">
        <v>214</v>
      </c>
      <c r="B36" s="11" t="s">
        <v>271</v>
      </c>
      <c r="C36" s="11" t="s">
        <v>281</v>
      </c>
      <c r="D36" s="11" t="s">
        <v>273</v>
      </c>
      <c r="E36" s="9"/>
      <c r="F36" s="9"/>
      <c r="G36" s="9"/>
      <c r="H36" s="9"/>
    </row>
    <row r="37" customFormat="false" ht="15" hidden="false" customHeight="true" outlineLevel="0" collapsed="false">
      <c r="A37" s="11" t="s">
        <v>215</v>
      </c>
      <c r="B37" s="11" t="s">
        <v>271</v>
      </c>
      <c r="C37" s="11" t="s">
        <v>281</v>
      </c>
      <c r="D37" s="11" t="s">
        <v>273</v>
      </c>
      <c r="E37" s="9"/>
      <c r="F37" s="9"/>
      <c r="G37" s="9"/>
      <c r="H37" s="9"/>
    </row>
    <row r="38" customFormat="false" ht="15" hidden="false" customHeight="true" outlineLevel="0" collapsed="false">
      <c r="A38" s="11" t="s">
        <v>216</v>
      </c>
      <c r="B38" s="11" t="s">
        <v>271</v>
      </c>
      <c r="C38" s="11" t="s">
        <v>281</v>
      </c>
      <c r="D38" s="11" t="s">
        <v>273</v>
      </c>
      <c r="E38" s="9"/>
      <c r="F38" s="9"/>
      <c r="G38" s="9"/>
      <c r="H38" s="9"/>
    </row>
    <row r="39" customFormat="false" ht="15" hidden="false" customHeight="true" outlineLevel="0" collapsed="false">
      <c r="A39" s="11" t="s">
        <v>217</v>
      </c>
      <c r="B39" s="11" t="s">
        <v>271</v>
      </c>
      <c r="C39" s="11" t="s">
        <v>281</v>
      </c>
      <c r="D39" s="11" t="s">
        <v>273</v>
      </c>
      <c r="E39" s="9"/>
      <c r="F39" s="9"/>
      <c r="G39" s="9"/>
      <c r="H39" s="9"/>
    </row>
    <row r="40" customFormat="false" ht="15" hidden="false" customHeight="true" outlineLevel="0" collapsed="false">
      <c r="A40" s="11" t="s">
        <v>230</v>
      </c>
      <c r="B40" s="11" t="s">
        <v>271</v>
      </c>
      <c r="C40" s="11" t="s">
        <v>283</v>
      </c>
      <c r="D40" s="11" t="s">
        <v>277</v>
      </c>
      <c r="E40" s="9"/>
      <c r="F40" s="9"/>
      <c r="G40" s="9"/>
      <c r="H40" s="9"/>
    </row>
    <row r="41" customFormat="false" ht="15" hidden="false" customHeight="true" outlineLevel="0" collapsed="false">
      <c r="A41" s="11" t="s">
        <v>234</v>
      </c>
      <c r="B41" s="11" t="s">
        <v>271</v>
      </c>
      <c r="C41" s="11" t="s">
        <v>284</v>
      </c>
      <c r="D41" s="11" t="s">
        <v>277</v>
      </c>
      <c r="E41" s="9"/>
      <c r="F41" s="9"/>
      <c r="G41" s="9"/>
      <c r="H41" s="9"/>
    </row>
    <row r="42" customFormat="false" ht="15" hidden="false" customHeight="true" outlineLevel="0" collapsed="false">
      <c r="A42" s="11" t="s">
        <v>285</v>
      </c>
      <c r="B42" s="11" t="s">
        <v>286</v>
      </c>
      <c r="C42" s="11" t="s">
        <v>272</v>
      </c>
      <c r="D42" s="11" t="s">
        <v>273</v>
      </c>
      <c r="E42" s="9"/>
      <c r="F42" s="9"/>
      <c r="G42" s="9"/>
      <c r="H42" s="9"/>
    </row>
    <row r="43" customFormat="false" ht="15" hidden="false" customHeight="true" outlineLevel="0" collapsed="false">
      <c r="A43" s="11" t="s">
        <v>287</v>
      </c>
      <c r="B43" s="11" t="s">
        <v>286</v>
      </c>
      <c r="C43" s="11" t="s">
        <v>272</v>
      </c>
      <c r="D43" s="11" t="s">
        <v>273</v>
      </c>
      <c r="E43" s="9"/>
      <c r="F43" s="9"/>
      <c r="G43" s="9"/>
      <c r="H43" s="9"/>
    </row>
    <row r="44" customFormat="false" ht="15" hidden="false" customHeight="true" outlineLevel="0" collapsed="false">
      <c r="A44" s="11" t="s">
        <v>288</v>
      </c>
      <c r="B44" s="11" t="s">
        <v>286</v>
      </c>
      <c r="C44" s="11" t="s">
        <v>272</v>
      </c>
      <c r="D44" s="11" t="s">
        <v>273</v>
      </c>
      <c r="E44" s="9"/>
      <c r="F44" s="9"/>
      <c r="G44" s="9"/>
      <c r="H44" s="9"/>
    </row>
    <row r="45" customFormat="false" ht="15" hidden="false" customHeight="true" outlineLevel="0" collapsed="false">
      <c r="A45" s="11" t="s">
        <v>289</v>
      </c>
      <c r="B45" s="11" t="s">
        <v>286</v>
      </c>
      <c r="C45" s="11" t="s">
        <v>272</v>
      </c>
      <c r="D45" s="11" t="s">
        <v>273</v>
      </c>
      <c r="E45" s="9"/>
      <c r="F45" s="9"/>
      <c r="G45" s="9"/>
      <c r="H45" s="9"/>
    </row>
    <row r="46" customFormat="false" ht="15" hidden="false" customHeight="true" outlineLevel="0" collapsed="false">
      <c r="A46" s="11" t="s">
        <v>290</v>
      </c>
      <c r="B46" s="11" t="s">
        <v>286</v>
      </c>
      <c r="C46" s="11" t="s">
        <v>272</v>
      </c>
      <c r="D46" s="11" t="s">
        <v>273</v>
      </c>
      <c r="E46" s="9"/>
      <c r="F46" s="9"/>
      <c r="G46" s="9"/>
      <c r="H46" s="9"/>
    </row>
    <row r="47" customFormat="false" ht="15" hidden="false" customHeight="true" outlineLevel="0" collapsed="false">
      <c r="A47" s="11" t="s">
        <v>291</v>
      </c>
      <c r="B47" s="11" t="s">
        <v>286</v>
      </c>
      <c r="C47" s="11" t="s">
        <v>272</v>
      </c>
      <c r="D47" s="11" t="s">
        <v>273</v>
      </c>
      <c r="E47" s="9"/>
      <c r="F47" s="9"/>
      <c r="G47" s="9"/>
      <c r="H47" s="9"/>
    </row>
    <row r="48" customFormat="false" ht="15" hidden="false" customHeight="true" outlineLevel="0" collapsed="false">
      <c r="A48" s="11" t="s">
        <v>292</v>
      </c>
      <c r="B48" s="11" t="s">
        <v>293</v>
      </c>
      <c r="C48" s="11" t="s">
        <v>272</v>
      </c>
      <c r="D48" s="11" t="s">
        <v>273</v>
      </c>
      <c r="E48" s="9"/>
      <c r="F48" s="9"/>
      <c r="G48" s="9"/>
      <c r="H48" s="9"/>
    </row>
    <row r="49" customFormat="false" ht="15" hidden="false" customHeight="true" outlineLevel="0" collapsed="false">
      <c r="A49" s="11" t="s">
        <v>294</v>
      </c>
      <c r="B49" s="11" t="s">
        <v>293</v>
      </c>
      <c r="C49" s="11" t="s">
        <v>272</v>
      </c>
      <c r="D49" s="11" t="s">
        <v>273</v>
      </c>
      <c r="E49" s="9"/>
      <c r="F49" s="9"/>
      <c r="G49" s="9"/>
      <c r="H49" s="9"/>
    </row>
    <row r="50" customFormat="false" ht="15" hidden="false" customHeight="true" outlineLevel="0" collapsed="false">
      <c r="A50" s="11" t="s">
        <v>295</v>
      </c>
      <c r="B50" s="11" t="s">
        <v>293</v>
      </c>
      <c r="C50" s="11" t="s">
        <v>272</v>
      </c>
      <c r="D50" s="11" t="s">
        <v>273</v>
      </c>
      <c r="E50" s="9"/>
      <c r="F50" s="9"/>
      <c r="G50" s="9"/>
      <c r="H50" s="9"/>
    </row>
    <row r="51" customFormat="false" ht="15" hidden="false" customHeight="true" outlineLevel="0" collapsed="false">
      <c r="A51" s="11" t="s">
        <v>296</v>
      </c>
      <c r="B51" s="11" t="s">
        <v>293</v>
      </c>
      <c r="C51" s="11" t="s">
        <v>272</v>
      </c>
      <c r="D51" s="11" t="s">
        <v>273</v>
      </c>
      <c r="E51" s="9"/>
      <c r="F51" s="9"/>
      <c r="G51" s="9"/>
      <c r="H51" s="9"/>
    </row>
    <row r="52" customFormat="false" ht="15" hidden="false" customHeight="true" outlineLevel="0" collapsed="false">
      <c r="A52" s="11" t="s">
        <v>297</v>
      </c>
      <c r="B52" s="11" t="s">
        <v>293</v>
      </c>
      <c r="C52" s="11" t="s">
        <v>272</v>
      </c>
      <c r="D52" s="11" t="s">
        <v>273</v>
      </c>
      <c r="E52" s="9"/>
      <c r="F52" s="9"/>
      <c r="G52" s="9"/>
      <c r="H52" s="9"/>
    </row>
    <row r="53" customFormat="false" ht="15" hidden="false" customHeight="true" outlineLevel="0" collapsed="false">
      <c r="A53" s="11" t="s">
        <v>298</v>
      </c>
      <c r="B53" s="11" t="s">
        <v>293</v>
      </c>
      <c r="C53" s="11" t="s">
        <v>272</v>
      </c>
      <c r="D53" s="11" t="s">
        <v>273</v>
      </c>
      <c r="E53" s="9"/>
      <c r="F53" s="9"/>
      <c r="G53" s="9"/>
      <c r="H53" s="9"/>
    </row>
    <row r="54" customFormat="false" ht="15" hidden="false" customHeight="true" outlineLevel="0" collapsed="false">
      <c r="A54" s="11" t="s">
        <v>299</v>
      </c>
      <c r="B54" s="11" t="s">
        <v>293</v>
      </c>
      <c r="C54" s="11" t="s">
        <v>272</v>
      </c>
      <c r="D54" s="11" t="s">
        <v>273</v>
      </c>
      <c r="E54" s="9"/>
      <c r="F54" s="9"/>
      <c r="G54" s="9"/>
      <c r="H54" s="9"/>
    </row>
    <row r="55" customFormat="false" ht="15" hidden="false" customHeight="true" outlineLevel="0" collapsed="false">
      <c r="A55" s="11" t="s">
        <v>300</v>
      </c>
      <c r="B55" s="11" t="s">
        <v>293</v>
      </c>
      <c r="C55" s="11" t="s">
        <v>272</v>
      </c>
      <c r="D55" s="11" t="s">
        <v>273</v>
      </c>
      <c r="E55" s="9"/>
      <c r="F55" s="9"/>
      <c r="G55" s="9"/>
      <c r="H55" s="9"/>
    </row>
    <row r="56" customFormat="false" ht="15" hidden="false" customHeight="true" outlineLevel="0" collapsed="false">
      <c r="A56" s="11" t="s">
        <v>301</v>
      </c>
      <c r="B56" s="11" t="s">
        <v>293</v>
      </c>
      <c r="C56" s="11" t="s">
        <v>272</v>
      </c>
      <c r="D56" s="11" t="s">
        <v>273</v>
      </c>
      <c r="E56" s="9"/>
      <c r="F56" s="9"/>
      <c r="G56" s="9"/>
      <c r="H56" s="9"/>
    </row>
    <row r="57" customFormat="false" ht="15" hidden="false" customHeight="true" outlineLevel="0" collapsed="false">
      <c r="A57" s="11" t="s">
        <v>302</v>
      </c>
      <c r="B57" s="11" t="s">
        <v>293</v>
      </c>
      <c r="C57" s="11" t="s">
        <v>272</v>
      </c>
      <c r="D57" s="11" t="s">
        <v>273</v>
      </c>
      <c r="E57" s="9"/>
      <c r="F57" s="9"/>
      <c r="G57" s="9"/>
      <c r="H57" s="9"/>
    </row>
    <row r="58" customFormat="false" ht="15" hidden="false" customHeight="true" outlineLevel="0" collapsed="false">
      <c r="A58" s="11" t="s">
        <v>303</v>
      </c>
      <c r="B58" s="11" t="s">
        <v>293</v>
      </c>
      <c r="C58" s="11" t="s">
        <v>272</v>
      </c>
      <c r="D58" s="11" t="s">
        <v>273</v>
      </c>
      <c r="E58" s="9"/>
      <c r="F58" s="9"/>
      <c r="G58" s="9"/>
      <c r="H58" s="9"/>
    </row>
    <row r="59" customFormat="false" ht="15" hidden="false" customHeight="true" outlineLevel="0" collapsed="false">
      <c r="A59" s="11" t="s">
        <v>304</v>
      </c>
      <c r="B59" s="11" t="s">
        <v>293</v>
      </c>
      <c r="C59" s="11" t="s">
        <v>272</v>
      </c>
      <c r="D59" s="11" t="s">
        <v>273</v>
      </c>
      <c r="E59" s="9"/>
      <c r="F59" s="9"/>
      <c r="G59" s="9"/>
      <c r="H59" s="9"/>
    </row>
    <row r="60" customFormat="false" ht="15" hidden="false" customHeight="true" outlineLevel="0" collapsed="false">
      <c r="A60" s="11" t="s">
        <v>305</v>
      </c>
      <c r="B60" s="11" t="s">
        <v>306</v>
      </c>
      <c r="C60" s="11" t="s">
        <v>307</v>
      </c>
      <c r="D60" s="11" t="s">
        <v>308</v>
      </c>
      <c r="E60" s="9"/>
      <c r="F60" s="9"/>
      <c r="G60" s="9"/>
      <c r="H60" s="9"/>
    </row>
    <row r="61" customFormat="false" ht="15" hidden="false" customHeight="true" outlineLevel="0" collapsed="false">
      <c r="A61" s="11" t="s">
        <v>309</v>
      </c>
      <c r="B61" s="11" t="s">
        <v>271</v>
      </c>
      <c r="C61" s="11" t="s">
        <v>310</v>
      </c>
      <c r="D61" s="11" t="s">
        <v>311</v>
      </c>
      <c r="E61" s="9"/>
      <c r="F61" s="9"/>
      <c r="G61" s="9"/>
      <c r="H61" s="9"/>
    </row>
    <row r="62" customFormat="false" ht="15" hidden="false" customHeight="true" outlineLevel="0" collapsed="false">
      <c r="A62" s="11" t="s">
        <v>312</v>
      </c>
      <c r="B62" s="11" t="s">
        <v>293</v>
      </c>
      <c r="C62" s="11" t="s">
        <v>313</v>
      </c>
      <c r="D62" s="11" t="s">
        <v>314</v>
      </c>
      <c r="E62" s="9"/>
      <c r="F62" s="9"/>
      <c r="G62" s="9"/>
      <c r="H62" s="9"/>
    </row>
    <row r="63" customFormat="false" ht="15" hidden="false" customHeight="true" outlineLevel="0" collapsed="false">
      <c r="A63" s="11" t="s">
        <v>315</v>
      </c>
      <c r="B63" s="11" t="s">
        <v>293</v>
      </c>
      <c r="C63" s="11" t="s">
        <v>313</v>
      </c>
      <c r="D63" s="11" t="s">
        <v>314</v>
      </c>
      <c r="E63" s="9"/>
      <c r="F63" s="9"/>
      <c r="G63" s="9"/>
      <c r="H63" s="9"/>
    </row>
  </sheetData>
  <autoFilter ref="A1:H6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24"/>
    <col collapsed="false" customWidth="true" hidden="false" outlineLevel="0" max="5" min="5" style="1" width="8"/>
    <col collapsed="false" customWidth="true" hidden="false" outlineLevel="0" max="6" min="6" style="1" width="16"/>
    <col collapsed="false" customWidth="true" hidden="false" outlineLevel="0" max="7" min="7" style="1" width="14"/>
  </cols>
  <sheetData>
    <row r="1" customFormat="false" ht="15" hidden="false" customHeight="true" outlineLevel="0" collapsed="false">
      <c r="A1" s="8" t="s">
        <v>316</v>
      </c>
      <c r="B1" s="8" t="s">
        <v>22</v>
      </c>
      <c r="C1" s="8" t="s">
        <v>263</v>
      </c>
      <c r="D1" s="8" t="s">
        <v>23</v>
      </c>
      <c r="E1" s="8" t="s">
        <v>24</v>
      </c>
      <c r="F1" s="8" t="s">
        <v>317</v>
      </c>
      <c r="G1" s="8" t="s">
        <v>318</v>
      </c>
    </row>
    <row r="2" customFormat="false" ht="15" hidden="false" customHeight="true" outlineLevel="0" collapsed="false">
      <c r="A2" s="12" t="n">
        <v>1</v>
      </c>
      <c r="B2" s="12" t="s">
        <v>165</v>
      </c>
      <c r="C2" s="12" t="s">
        <v>271</v>
      </c>
      <c r="D2" s="12" t="s">
        <v>31</v>
      </c>
      <c r="E2" s="12" t="s">
        <v>32</v>
      </c>
      <c r="F2" s="12"/>
      <c r="G2" s="12"/>
    </row>
    <row r="3" customFormat="false" ht="15" hidden="false" customHeight="true" outlineLevel="0" collapsed="false">
      <c r="A3" s="9" t="n">
        <v>2</v>
      </c>
      <c r="B3" s="9" t="s">
        <v>319</v>
      </c>
      <c r="C3" s="9" t="s">
        <v>271</v>
      </c>
      <c r="D3" s="9" t="s">
        <v>31</v>
      </c>
      <c r="E3" s="9" t="s">
        <v>320</v>
      </c>
      <c r="F3" s="9"/>
      <c r="G3" s="9"/>
    </row>
    <row r="4" customFormat="false" ht="15" hidden="false" customHeight="true" outlineLevel="0" collapsed="false">
      <c r="A4" s="9" t="n">
        <v>2</v>
      </c>
      <c r="B4" s="9" t="s">
        <v>321</v>
      </c>
      <c r="C4" s="9" t="s">
        <v>271</v>
      </c>
      <c r="D4" s="9" t="s">
        <v>31</v>
      </c>
      <c r="E4" s="9" t="s">
        <v>320</v>
      </c>
      <c r="F4" s="9"/>
      <c r="G4" s="9"/>
    </row>
    <row r="5" customFormat="false" ht="15" hidden="false" customHeight="true" outlineLevel="0" collapsed="false">
      <c r="A5" s="9" t="n">
        <v>2</v>
      </c>
      <c r="B5" s="9" t="s">
        <v>322</v>
      </c>
      <c r="C5" s="9" t="s">
        <v>271</v>
      </c>
      <c r="D5" s="9" t="s">
        <v>31</v>
      </c>
      <c r="E5" s="9" t="s">
        <v>320</v>
      </c>
      <c r="F5" s="9"/>
      <c r="G5" s="9"/>
    </row>
    <row r="6" customFormat="false" ht="15" hidden="false" customHeight="true" outlineLevel="0" collapsed="false">
      <c r="A6" s="9" t="n">
        <v>2</v>
      </c>
      <c r="B6" s="9" t="s">
        <v>323</v>
      </c>
      <c r="C6" s="9" t="s">
        <v>271</v>
      </c>
      <c r="D6" s="9" t="s">
        <v>31</v>
      </c>
      <c r="E6" s="9" t="s">
        <v>320</v>
      </c>
      <c r="F6" s="9"/>
      <c r="G6" s="9"/>
    </row>
    <row r="7" customFormat="false" ht="15" hidden="false" customHeight="true" outlineLevel="0" collapsed="false">
      <c r="A7" s="9" t="n">
        <v>2</v>
      </c>
      <c r="B7" s="9" t="s">
        <v>324</v>
      </c>
      <c r="C7" s="9" t="s">
        <v>271</v>
      </c>
      <c r="D7" s="9" t="s">
        <v>31</v>
      </c>
      <c r="E7" s="9" t="s">
        <v>320</v>
      </c>
      <c r="F7" s="9"/>
      <c r="G7" s="9"/>
    </row>
    <row r="8" customFormat="false" ht="15" hidden="false" customHeight="true" outlineLevel="0" collapsed="false">
      <c r="A8" s="9" t="n">
        <v>2</v>
      </c>
      <c r="B8" s="9" t="s">
        <v>325</v>
      </c>
      <c r="C8" s="9" t="s">
        <v>271</v>
      </c>
      <c r="D8" s="9" t="s">
        <v>31</v>
      </c>
      <c r="E8" s="9" t="s">
        <v>320</v>
      </c>
      <c r="F8" s="9"/>
      <c r="G8" s="9"/>
    </row>
    <row r="9" customFormat="false" ht="15" hidden="false" customHeight="true" outlineLevel="0" collapsed="false">
      <c r="A9" s="9" t="n">
        <v>2</v>
      </c>
      <c r="B9" s="9" t="s">
        <v>326</v>
      </c>
      <c r="C9" s="9" t="s">
        <v>271</v>
      </c>
      <c r="D9" s="9" t="s">
        <v>31</v>
      </c>
      <c r="E9" s="9" t="s">
        <v>320</v>
      </c>
      <c r="F9" s="9"/>
      <c r="G9" s="9"/>
    </row>
    <row r="10" customFormat="false" ht="15" hidden="false" customHeight="true" outlineLevel="0" collapsed="false">
      <c r="A10" s="9" t="n">
        <v>2</v>
      </c>
      <c r="B10" s="9" t="s">
        <v>327</v>
      </c>
      <c r="C10" s="9" t="s">
        <v>271</v>
      </c>
      <c r="D10" s="9" t="s">
        <v>31</v>
      </c>
      <c r="E10" s="9" t="s">
        <v>320</v>
      </c>
      <c r="F10" s="9"/>
      <c r="G10" s="9"/>
    </row>
    <row r="11" customFormat="false" ht="15" hidden="false" customHeight="true" outlineLevel="0" collapsed="false">
      <c r="A11" s="9" t="n">
        <v>2</v>
      </c>
      <c r="B11" s="9" t="s">
        <v>328</v>
      </c>
      <c r="C11" s="9" t="s">
        <v>271</v>
      </c>
      <c r="D11" s="9" t="s">
        <v>31</v>
      </c>
      <c r="E11" s="9" t="s">
        <v>320</v>
      </c>
      <c r="F11" s="9"/>
      <c r="G11" s="9"/>
    </row>
    <row r="12" customFormat="false" ht="15" hidden="false" customHeight="true" outlineLevel="0" collapsed="false">
      <c r="A12" s="9" t="n">
        <v>2</v>
      </c>
      <c r="B12" s="9" t="s">
        <v>329</v>
      </c>
      <c r="C12" s="9" t="s">
        <v>271</v>
      </c>
      <c r="D12" s="9" t="s">
        <v>31</v>
      </c>
      <c r="E12" s="9" t="s">
        <v>320</v>
      </c>
      <c r="F12" s="9"/>
      <c r="G12" s="9"/>
    </row>
    <row r="13" customFormat="false" ht="15" hidden="false" customHeight="true" outlineLevel="0" collapsed="false">
      <c r="A13" s="9" t="n">
        <v>2</v>
      </c>
      <c r="B13" s="9" t="s">
        <v>330</v>
      </c>
      <c r="C13" s="9" t="s">
        <v>271</v>
      </c>
      <c r="D13" s="9" t="s">
        <v>31</v>
      </c>
      <c r="E13" s="9" t="s">
        <v>320</v>
      </c>
      <c r="F13" s="9"/>
      <c r="G13" s="9"/>
    </row>
    <row r="14" customFormat="false" ht="15" hidden="false" customHeight="true" outlineLevel="0" collapsed="false">
      <c r="A14" s="9" t="n">
        <v>2</v>
      </c>
      <c r="B14" s="9" t="s">
        <v>331</v>
      </c>
      <c r="C14" s="9" t="s">
        <v>271</v>
      </c>
      <c r="D14" s="9" t="s">
        <v>31</v>
      </c>
      <c r="E14" s="9" t="s">
        <v>320</v>
      </c>
      <c r="F14" s="9"/>
      <c r="G14" s="9"/>
    </row>
    <row r="15" customFormat="false" ht="15" hidden="false" customHeight="true" outlineLevel="0" collapsed="false">
      <c r="A15" s="9" t="n">
        <v>2</v>
      </c>
      <c r="B15" s="9" t="s">
        <v>332</v>
      </c>
      <c r="C15" s="9" t="s">
        <v>271</v>
      </c>
      <c r="D15" s="9" t="s">
        <v>31</v>
      </c>
      <c r="E15" s="9" t="s">
        <v>320</v>
      </c>
      <c r="F15" s="9"/>
      <c r="G15" s="9"/>
    </row>
    <row r="16" customFormat="false" ht="15" hidden="false" customHeight="true" outlineLevel="0" collapsed="false">
      <c r="A16" s="9" t="n">
        <v>2</v>
      </c>
      <c r="B16" s="9" t="s">
        <v>333</v>
      </c>
      <c r="C16" s="9" t="s">
        <v>271</v>
      </c>
      <c r="D16" s="9" t="s">
        <v>31</v>
      </c>
      <c r="E16" s="9" t="s">
        <v>320</v>
      </c>
      <c r="F16" s="9"/>
      <c r="G16" s="9"/>
    </row>
    <row r="17" customFormat="false" ht="15" hidden="false" customHeight="true" outlineLevel="0" collapsed="false">
      <c r="A17" s="9" t="n">
        <v>2</v>
      </c>
      <c r="B17" s="9" t="s">
        <v>334</v>
      </c>
      <c r="C17" s="9" t="s">
        <v>271</v>
      </c>
      <c r="D17" s="9" t="s">
        <v>31</v>
      </c>
      <c r="E17" s="9" t="s">
        <v>320</v>
      </c>
      <c r="F17" s="9"/>
      <c r="G17" s="9"/>
    </row>
    <row r="18" customFormat="false" ht="15" hidden="false" customHeight="true" outlineLevel="0" collapsed="false">
      <c r="A18" s="9" t="n">
        <v>2</v>
      </c>
      <c r="B18" s="9" t="s">
        <v>335</v>
      </c>
      <c r="C18" s="9" t="s">
        <v>271</v>
      </c>
      <c r="D18" s="9" t="s">
        <v>31</v>
      </c>
      <c r="E18" s="9" t="s">
        <v>320</v>
      </c>
      <c r="F18" s="9"/>
      <c r="G18" s="9"/>
    </row>
    <row r="19" customFormat="false" ht="15" hidden="false" customHeight="true" outlineLevel="0" collapsed="false">
      <c r="A19" s="9" t="n">
        <v>2</v>
      </c>
      <c r="B19" s="9" t="s">
        <v>336</v>
      </c>
      <c r="C19" s="9" t="s">
        <v>271</v>
      </c>
      <c r="D19" s="9" t="s">
        <v>31</v>
      </c>
      <c r="E19" s="9" t="s">
        <v>320</v>
      </c>
      <c r="F19" s="9"/>
      <c r="G19" s="9"/>
    </row>
    <row r="20" customFormat="false" ht="15" hidden="false" customHeight="true" outlineLevel="0" collapsed="false">
      <c r="A20" s="9" t="n">
        <v>2</v>
      </c>
      <c r="B20" s="9" t="s">
        <v>337</v>
      </c>
      <c r="C20" s="9" t="s">
        <v>271</v>
      </c>
      <c r="D20" s="9" t="s">
        <v>31</v>
      </c>
      <c r="E20" s="9" t="s">
        <v>338</v>
      </c>
      <c r="F20" s="9"/>
      <c r="G20" s="9"/>
    </row>
    <row r="21" customFormat="false" ht="15" hidden="false" customHeight="true" outlineLevel="0" collapsed="false">
      <c r="A21" s="9" t="n">
        <v>2</v>
      </c>
      <c r="B21" s="9" t="s">
        <v>339</v>
      </c>
      <c r="C21" s="9" t="s">
        <v>271</v>
      </c>
      <c r="D21" s="9" t="s">
        <v>31</v>
      </c>
      <c r="E21" s="9" t="s">
        <v>340</v>
      </c>
      <c r="F21" s="9"/>
      <c r="G21" s="9"/>
    </row>
    <row r="22" customFormat="false" ht="15" hidden="false" customHeight="true" outlineLevel="0" collapsed="false">
      <c r="A22" s="9" t="n">
        <v>2</v>
      </c>
      <c r="B22" s="9" t="s">
        <v>341</v>
      </c>
      <c r="C22" s="9" t="s">
        <v>271</v>
      </c>
      <c r="D22" s="9" t="s">
        <v>31</v>
      </c>
      <c r="E22" s="9" t="s">
        <v>340</v>
      </c>
      <c r="F22" s="9"/>
      <c r="G22" s="9"/>
    </row>
    <row r="23" customFormat="false" ht="15" hidden="false" customHeight="true" outlineLevel="0" collapsed="false">
      <c r="A23" s="9" t="n">
        <v>2</v>
      </c>
      <c r="B23" s="9" t="s">
        <v>342</v>
      </c>
      <c r="C23" s="9" t="s">
        <v>271</v>
      </c>
      <c r="D23" s="9" t="s">
        <v>31</v>
      </c>
      <c r="E23" s="9" t="s">
        <v>340</v>
      </c>
      <c r="F23" s="9"/>
      <c r="G23" s="9"/>
    </row>
    <row r="24" customFormat="false" ht="15" hidden="false" customHeight="true" outlineLevel="0" collapsed="false">
      <c r="A24" s="9" t="n">
        <v>2</v>
      </c>
      <c r="B24" s="9" t="s">
        <v>343</v>
      </c>
      <c r="C24" s="9" t="s">
        <v>271</v>
      </c>
      <c r="D24" s="9" t="s">
        <v>344</v>
      </c>
      <c r="E24" s="9" t="s">
        <v>320</v>
      </c>
      <c r="F24" s="9"/>
      <c r="G24" s="9"/>
    </row>
    <row r="25" customFormat="false" ht="15" hidden="false" customHeight="true" outlineLevel="0" collapsed="false">
      <c r="A25" s="9" t="n">
        <v>2</v>
      </c>
      <c r="B25" s="9" t="s">
        <v>345</v>
      </c>
      <c r="C25" s="9" t="s">
        <v>271</v>
      </c>
      <c r="D25" s="9" t="s">
        <v>344</v>
      </c>
      <c r="E25" s="9" t="s">
        <v>320</v>
      </c>
      <c r="F25" s="9"/>
      <c r="G25" s="9"/>
    </row>
    <row r="26" customFormat="false" ht="15" hidden="false" customHeight="true" outlineLevel="0" collapsed="false">
      <c r="A26" s="9" t="n">
        <v>2</v>
      </c>
      <c r="B26" s="9" t="s">
        <v>346</v>
      </c>
      <c r="C26" s="9" t="s">
        <v>271</v>
      </c>
      <c r="D26" s="9" t="s">
        <v>344</v>
      </c>
      <c r="E26" s="9" t="s">
        <v>320</v>
      </c>
      <c r="F26" s="9"/>
      <c r="G26" s="9"/>
    </row>
    <row r="27" customFormat="false" ht="15" hidden="false" customHeight="true" outlineLevel="0" collapsed="false">
      <c r="A27" s="9" t="n">
        <v>2</v>
      </c>
      <c r="B27" s="9" t="s">
        <v>347</v>
      </c>
      <c r="C27" s="9" t="s">
        <v>271</v>
      </c>
      <c r="D27" s="9" t="s">
        <v>344</v>
      </c>
      <c r="E27" s="9" t="s">
        <v>320</v>
      </c>
      <c r="F27" s="9"/>
      <c r="G27" s="9"/>
    </row>
    <row r="28" customFormat="false" ht="15" hidden="false" customHeight="true" outlineLevel="0" collapsed="false">
      <c r="A28" s="9" t="n">
        <v>2</v>
      </c>
      <c r="B28" s="9" t="s">
        <v>348</v>
      </c>
      <c r="C28" s="9" t="s">
        <v>271</v>
      </c>
      <c r="D28" s="9" t="s">
        <v>344</v>
      </c>
      <c r="E28" s="9" t="s">
        <v>320</v>
      </c>
      <c r="F28" s="9"/>
      <c r="G28" s="9"/>
    </row>
    <row r="29" customFormat="false" ht="15" hidden="false" customHeight="true" outlineLevel="0" collapsed="false">
      <c r="A29" s="9" t="n">
        <v>2</v>
      </c>
      <c r="B29" s="9" t="s">
        <v>349</v>
      </c>
      <c r="C29" s="9" t="s">
        <v>271</v>
      </c>
      <c r="D29" s="9" t="s">
        <v>31</v>
      </c>
      <c r="E29" s="9" t="s">
        <v>320</v>
      </c>
      <c r="F29" s="9"/>
      <c r="G29" s="9"/>
    </row>
    <row r="30" customFormat="false" ht="15" hidden="false" customHeight="true" outlineLevel="0" collapsed="false">
      <c r="A30" s="9" t="n">
        <v>2</v>
      </c>
      <c r="B30" s="9" t="s">
        <v>350</v>
      </c>
      <c r="C30" s="9" t="s">
        <v>271</v>
      </c>
      <c r="D30" s="9" t="s">
        <v>351</v>
      </c>
      <c r="E30" s="9" t="s">
        <v>352</v>
      </c>
      <c r="F30" s="9"/>
      <c r="G30" s="9"/>
    </row>
    <row r="31" customFormat="false" ht="15" hidden="false" customHeight="true" outlineLevel="0" collapsed="false">
      <c r="A31" s="9" t="n">
        <v>2</v>
      </c>
      <c r="B31" s="9" t="s">
        <v>353</v>
      </c>
      <c r="C31" s="9" t="s">
        <v>271</v>
      </c>
      <c r="D31" s="9" t="s">
        <v>351</v>
      </c>
      <c r="E31" s="9" t="s">
        <v>354</v>
      </c>
      <c r="F31" s="9"/>
      <c r="G31" s="9"/>
    </row>
    <row r="32" customFormat="false" ht="15" hidden="false" customHeight="true" outlineLevel="0" collapsed="false">
      <c r="A32" s="9" t="n">
        <v>2</v>
      </c>
      <c r="B32" s="9" t="s">
        <v>355</v>
      </c>
      <c r="C32" s="9" t="s">
        <v>271</v>
      </c>
      <c r="D32" s="9" t="s">
        <v>351</v>
      </c>
      <c r="E32" s="9" t="s">
        <v>354</v>
      </c>
      <c r="F32" s="9"/>
      <c r="G32" s="9"/>
    </row>
    <row r="33" customFormat="false" ht="15" hidden="false" customHeight="true" outlineLevel="0" collapsed="false">
      <c r="A33" s="9" t="n">
        <v>2</v>
      </c>
      <c r="B33" s="9" t="s">
        <v>356</v>
      </c>
      <c r="C33" s="9" t="s">
        <v>271</v>
      </c>
      <c r="D33" s="9" t="s">
        <v>351</v>
      </c>
      <c r="E33" s="9" t="s">
        <v>352</v>
      </c>
      <c r="F33" s="9"/>
      <c r="G33" s="9"/>
    </row>
    <row r="34" customFormat="false" ht="15" hidden="false" customHeight="true" outlineLevel="0" collapsed="false">
      <c r="A34" s="9" t="n">
        <v>2</v>
      </c>
      <c r="B34" s="9" t="s">
        <v>357</v>
      </c>
      <c r="C34" s="9" t="s">
        <v>271</v>
      </c>
      <c r="D34" s="9" t="s">
        <v>351</v>
      </c>
      <c r="E34" s="9" t="s">
        <v>354</v>
      </c>
      <c r="F34" s="9"/>
      <c r="G34" s="9"/>
    </row>
    <row r="35" customFormat="false" ht="15" hidden="false" customHeight="true" outlineLevel="0" collapsed="false">
      <c r="A35" s="9" t="n">
        <v>2</v>
      </c>
      <c r="B35" s="9" t="s">
        <v>358</v>
      </c>
      <c r="C35" s="9" t="s">
        <v>271</v>
      </c>
      <c r="D35" s="9" t="s">
        <v>351</v>
      </c>
      <c r="E35" s="9" t="s">
        <v>354</v>
      </c>
      <c r="F35" s="9"/>
      <c r="G35" s="9"/>
    </row>
    <row r="36" customFormat="false" ht="15" hidden="false" customHeight="true" outlineLevel="0" collapsed="false">
      <c r="A36" s="9" t="n">
        <v>2</v>
      </c>
      <c r="B36" s="9" t="s">
        <v>359</v>
      </c>
      <c r="C36" s="9" t="s">
        <v>271</v>
      </c>
      <c r="D36" s="9" t="s">
        <v>351</v>
      </c>
      <c r="E36" s="9" t="s">
        <v>354</v>
      </c>
      <c r="F36" s="9"/>
      <c r="G36" s="9"/>
    </row>
    <row r="37" customFormat="false" ht="15" hidden="false" customHeight="true" outlineLevel="0" collapsed="false">
      <c r="A37" s="9" t="n">
        <v>2</v>
      </c>
      <c r="B37" s="9" t="s">
        <v>360</v>
      </c>
      <c r="C37" s="9" t="s">
        <v>271</v>
      </c>
      <c r="D37" s="9" t="s">
        <v>351</v>
      </c>
      <c r="E37" s="9" t="s">
        <v>354</v>
      </c>
      <c r="F37" s="9"/>
      <c r="G37" s="9"/>
    </row>
    <row r="38" customFormat="false" ht="15" hidden="false" customHeight="true" outlineLevel="0" collapsed="false">
      <c r="A38" s="9" t="n">
        <v>2</v>
      </c>
      <c r="B38" s="9" t="s">
        <v>361</v>
      </c>
      <c r="C38" s="9" t="s">
        <v>271</v>
      </c>
      <c r="D38" s="9" t="s">
        <v>351</v>
      </c>
      <c r="E38" s="9" t="s">
        <v>354</v>
      </c>
      <c r="F38" s="9"/>
      <c r="G38" s="9"/>
    </row>
    <row r="39" customFormat="false" ht="15" hidden="false" customHeight="true" outlineLevel="0" collapsed="false">
      <c r="A39" s="9" t="n">
        <v>2</v>
      </c>
      <c r="B39" s="9" t="s">
        <v>362</v>
      </c>
      <c r="C39" s="9" t="s">
        <v>271</v>
      </c>
      <c r="D39" s="9" t="s">
        <v>351</v>
      </c>
      <c r="E39" s="9" t="s">
        <v>363</v>
      </c>
      <c r="F39" s="9"/>
      <c r="G39" s="9"/>
    </row>
    <row r="40" customFormat="false" ht="15" hidden="false" customHeight="true" outlineLevel="0" collapsed="false">
      <c r="A40" s="9" t="n">
        <v>2</v>
      </c>
      <c r="B40" s="9" t="s">
        <v>364</v>
      </c>
      <c r="C40" s="9" t="s">
        <v>271</v>
      </c>
      <c r="D40" s="9" t="s">
        <v>351</v>
      </c>
      <c r="E40" s="9" t="s">
        <v>363</v>
      </c>
      <c r="F40" s="9"/>
      <c r="G40" s="9"/>
    </row>
    <row r="41" customFormat="false" ht="15" hidden="false" customHeight="true" outlineLevel="0" collapsed="false">
      <c r="A41" s="9" t="n">
        <v>3</v>
      </c>
      <c r="B41" s="9" t="s">
        <v>365</v>
      </c>
      <c r="C41" s="9" t="s">
        <v>366</v>
      </c>
      <c r="D41" s="9" t="s">
        <v>367</v>
      </c>
      <c r="E41" s="9" t="s">
        <v>368</v>
      </c>
      <c r="F41" s="9"/>
      <c r="G41" s="9"/>
    </row>
    <row r="42" customFormat="false" ht="15" hidden="false" customHeight="true" outlineLevel="0" collapsed="false">
      <c r="A42" s="9" t="n">
        <v>3</v>
      </c>
      <c r="B42" s="9" t="s">
        <v>369</v>
      </c>
      <c r="C42" s="9" t="s">
        <v>366</v>
      </c>
      <c r="D42" s="9" t="s">
        <v>367</v>
      </c>
      <c r="E42" s="9" t="s">
        <v>368</v>
      </c>
      <c r="F42" s="9"/>
      <c r="G42" s="9"/>
    </row>
    <row r="43" customFormat="false" ht="15" hidden="false" customHeight="true" outlineLevel="0" collapsed="false">
      <c r="A43" s="9" t="n">
        <v>3</v>
      </c>
      <c r="B43" s="9" t="s">
        <v>370</v>
      </c>
      <c r="C43" s="9" t="s">
        <v>366</v>
      </c>
      <c r="D43" s="9" t="s">
        <v>367</v>
      </c>
      <c r="E43" s="9" t="s">
        <v>368</v>
      </c>
      <c r="F43" s="9"/>
      <c r="G43" s="9"/>
    </row>
    <row r="44" customFormat="false" ht="15" hidden="false" customHeight="true" outlineLevel="0" collapsed="false">
      <c r="A44" s="9" t="n">
        <v>3</v>
      </c>
      <c r="B44" s="9" t="s">
        <v>371</v>
      </c>
      <c r="C44" s="9" t="s">
        <v>366</v>
      </c>
      <c r="D44" s="9" t="s">
        <v>372</v>
      </c>
      <c r="E44" s="9" t="s">
        <v>320</v>
      </c>
      <c r="F44" s="9"/>
      <c r="G44" s="9"/>
    </row>
    <row r="45" customFormat="false" ht="15" hidden="false" customHeight="true" outlineLevel="0" collapsed="false">
      <c r="A45" s="9" t="n">
        <v>3</v>
      </c>
      <c r="B45" s="9" t="s">
        <v>373</v>
      </c>
      <c r="C45" s="9" t="s">
        <v>366</v>
      </c>
      <c r="D45" s="9" t="s">
        <v>372</v>
      </c>
      <c r="E45" s="9" t="s">
        <v>320</v>
      </c>
      <c r="F45" s="9"/>
      <c r="G45" s="9"/>
    </row>
    <row r="46" customFormat="false" ht="15" hidden="false" customHeight="true" outlineLevel="0" collapsed="false">
      <c r="A46" s="9" t="n">
        <v>3</v>
      </c>
      <c r="B46" s="9" t="s">
        <v>374</v>
      </c>
      <c r="C46" s="9" t="s">
        <v>366</v>
      </c>
      <c r="D46" s="9" t="s">
        <v>375</v>
      </c>
      <c r="E46" s="9" t="s">
        <v>320</v>
      </c>
      <c r="F46" s="9"/>
      <c r="G46" s="9"/>
    </row>
    <row r="47" customFormat="false" ht="15" hidden="false" customHeight="true" outlineLevel="0" collapsed="false">
      <c r="A47" s="9" t="n">
        <v>3</v>
      </c>
      <c r="B47" s="9" t="s">
        <v>376</v>
      </c>
      <c r="C47" s="9" t="s">
        <v>366</v>
      </c>
      <c r="D47" s="9" t="s">
        <v>375</v>
      </c>
      <c r="E47" s="9" t="s">
        <v>320</v>
      </c>
      <c r="F47" s="9"/>
      <c r="G47" s="9"/>
    </row>
    <row r="48" customFormat="false" ht="15" hidden="false" customHeight="true" outlineLevel="0" collapsed="false">
      <c r="A48" s="9" t="n">
        <v>3</v>
      </c>
      <c r="B48" s="9" t="s">
        <v>377</v>
      </c>
      <c r="C48" s="9" t="s">
        <v>366</v>
      </c>
      <c r="D48" s="9" t="s">
        <v>375</v>
      </c>
      <c r="E48" s="9" t="s">
        <v>320</v>
      </c>
      <c r="F48" s="9"/>
      <c r="G48" s="9"/>
    </row>
    <row r="49" customFormat="false" ht="15" hidden="false" customHeight="true" outlineLevel="0" collapsed="false">
      <c r="A49" s="9" t="n">
        <v>3</v>
      </c>
      <c r="B49" s="9" t="s">
        <v>378</v>
      </c>
      <c r="C49" s="9" t="s">
        <v>366</v>
      </c>
      <c r="D49" s="9" t="s">
        <v>375</v>
      </c>
      <c r="E49" s="9" t="s">
        <v>320</v>
      </c>
      <c r="F49" s="9"/>
      <c r="G49" s="9"/>
    </row>
    <row r="50" customFormat="false" ht="15" hidden="false" customHeight="true" outlineLevel="0" collapsed="false">
      <c r="A50" s="9" t="n">
        <v>3</v>
      </c>
      <c r="B50" s="9" t="s">
        <v>379</v>
      </c>
      <c r="C50" s="9" t="s">
        <v>366</v>
      </c>
      <c r="D50" s="9" t="s">
        <v>375</v>
      </c>
      <c r="E50" s="9" t="s">
        <v>320</v>
      </c>
      <c r="F50" s="9"/>
      <c r="G50" s="9"/>
    </row>
    <row r="51" customFormat="false" ht="15" hidden="false" customHeight="true" outlineLevel="0" collapsed="false">
      <c r="A51" s="9" t="n">
        <v>3</v>
      </c>
      <c r="B51" s="9" t="s">
        <v>380</v>
      </c>
      <c r="C51" s="9" t="s">
        <v>366</v>
      </c>
      <c r="D51" s="9" t="s">
        <v>375</v>
      </c>
      <c r="E51" s="9" t="s">
        <v>320</v>
      </c>
      <c r="F51" s="9"/>
      <c r="G51" s="9"/>
    </row>
    <row r="52" customFormat="false" ht="15" hidden="false" customHeight="true" outlineLevel="0" collapsed="false">
      <c r="A52" s="9" t="n">
        <v>3</v>
      </c>
      <c r="B52" s="9" t="s">
        <v>381</v>
      </c>
      <c r="C52" s="9" t="s">
        <v>366</v>
      </c>
      <c r="D52" s="9" t="s">
        <v>382</v>
      </c>
      <c r="E52" s="9" t="s">
        <v>320</v>
      </c>
      <c r="F52" s="9"/>
      <c r="G52" s="9"/>
    </row>
    <row r="53" customFormat="false" ht="15" hidden="false" customHeight="true" outlineLevel="0" collapsed="false">
      <c r="A53" s="9" t="n">
        <v>3</v>
      </c>
      <c r="B53" s="9" t="s">
        <v>383</v>
      </c>
      <c r="C53" s="9" t="s">
        <v>366</v>
      </c>
      <c r="D53" s="9" t="s">
        <v>384</v>
      </c>
      <c r="E53" s="9" t="s">
        <v>320</v>
      </c>
      <c r="F53" s="9"/>
      <c r="G53" s="9"/>
    </row>
    <row r="54" customFormat="false" ht="15" hidden="false" customHeight="true" outlineLevel="0" collapsed="false">
      <c r="A54" s="9" t="n">
        <v>3</v>
      </c>
      <c r="B54" s="9" t="s">
        <v>385</v>
      </c>
      <c r="C54" s="9" t="s">
        <v>366</v>
      </c>
      <c r="D54" s="9" t="s">
        <v>382</v>
      </c>
      <c r="E54" s="9" t="s">
        <v>320</v>
      </c>
      <c r="F54" s="9"/>
      <c r="G54" s="9"/>
    </row>
    <row r="55" customFormat="false" ht="15" hidden="false" customHeight="true" outlineLevel="0" collapsed="false">
      <c r="A55" s="9" t="n">
        <v>3</v>
      </c>
      <c r="B55" s="9" t="s">
        <v>386</v>
      </c>
      <c r="C55" s="9" t="s">
        <v>366</v>
      </c>
      <c r="D55" s="9" t="s">
        <v>382</v>
      </c>
      <c r="E55" s="9" t="s">
        <v>320</v>
      </c>
      <c r="F55" s="9"/>
      <c r="G55" s="9"/>
    </row>
    <row r="56" customFormat="false" ht="15" hidden="false" customHeight="true" outlineLevel="0" collapsed="false">
      <c r="A56" s="9" t="n">
        <v>3</v>
      </c>
      <c r="B56" s="9" t="s">
        <v>387</v>
      </c>
      <c r="C56" s="9" t="s">
        <v>366</v>
      </c>
      <c r="D56" s="9" t="s">
        <v>382</v>
      </c>
      <c r="E56" s="9" t="s">
        <v>320</v>
      </c>
      <c r="F56" s="9"/>
      <c r="G56" s="9"/>
    </row>
    <row r="57" customFormat="false" ht="15" hidden="false" customHeight="true" outlineLevel="0" collapsed="false">
      <c r="A57" s="9" t="n">
        <v>3</v>
      </c>
      <c r="B57" s="9" t="s">
        <v>388</v>
      </c>
      <c r="C57" s="9" t="s">
        <v>366</v>
      </c>
      <c r="D57" s="9" t="s">
        <v>382</v>
      </c>
      <c r="E57" s="9" t="s">
        <v>320</v>
      </c>
      <c r="F57" s="9"/>
      <c r="G57" s="9"/>
    </row>
    <row r="58" customFormat="false" ht="15" hidden="false" customHeight="true" outlineLevel="0" collapsed="false">
      <c r="A58" s="9" t="n">
        <v>3</v>
      </c>
      <c r="B58" s="9" t="s">
        <v>389</v>
      </c>
      <c r="C58" s="9" t="s">
        <v>366</v>
      </c>
      <c r="D58" s="9" t="s">
        <v>382</v>
      </c>
      <c r="E58" s="9" t="s">
        <v>320</v>
      </c>
      <c r="F58" s="9"/>
      <c r="G58" s="9"/>
    </row>
    <row r="59" customFormat="false" ht="15" hidden="false" customHeight="true" outlineLevel="0" collapsed="false">
      <c r="A59" s="9" t="n">
        <v>3</v>
      </c>
      <c r="B59" s="9" t="s">
        <v>390</v>
      </c>
      <c r="C59" s="9" t="s">
        <v>366</v>
      </c>
      <c r="D59" s="9" t="s">
        <v>382</v>
      </c>
      <c r="E59" s="9" t="s">
        <v>320</v>
      </c>
      <c r="F59" s="9"/>
      <c r="G59" s="9"/>
    </row>
    <row r="60" customFormat="false" ht="15" hidden="false" customHeight="true" outlineLevel="0" collapsed="false">
      <c r="A60" s="9" t="n">
        <v>3</v>
      </c>
      <c r="B60" s="9" t="s">
        <v>391</v>
      </c>
      <c r="C60" s="9" t="s">
        <v>366</v>
      </c>
      <c r="D60" s="9" t="s">
        <v>382</v>
      </c>
      <c r="E60" s="9" t="s">
        <v>320</v>
      </c>
      <c r="F60" s="9"/>
      <c r="G60" s="9"/>
    </row>
    <row r="61" customFormat="false" ht="15" hidden="false" customHeight="true" outlineLevel="0" collapsed="false">
      <c r="A61" s="9" t="n">
        <v>3</v>
      </c>
      <c r="B61" s="9" t="s">
        <v>392</v>
      </c>
      <c r="C61" s="9" t="s">
        <v>366</v>
      </c>
      <c r="D61" s="9" t="s">
        <v>382</v>
      </c>
      <c r="E61" s="9" t="s">
        <v>320</v>
      </c>
      <c r="F61" s="9"/>
      <c r="G61" s="9"/>
    </row>
    <row r="62" customFormat="false" ht="15" hidden="false" customHeight="true" outlineLevel="0" collapsed="false">
      <c r="A62" s="9" t="n">
        <v>3</v>
      </c>
      <c r="B62" s="9" t="s">
        <v>393</v>
      </c>
      <c r="C62" s="9" t="s">
        <v>366</v>
      </c>
      <c r="D62" s="9" t="s">
        <v>394</v>
      </c>
      <c r="E62" s="9" t="s">
        <v>363</v>
      </c>
      <c r="F62" s="9"/>
      <c r="G62" s="9"/>
    </row>
    <row r="63" customFormat="false" ht="15" hidden="false" customHeight="true" outlineLevel="0" collapsed="false">
      <c r="A63" s="9" t="n">
        <v>3</v>
      </c>
      <c r="B63" s="9" t="s">
        <v>395</v>
      </c>
      <c r="C63" s="9" t="s">
        <v>366</v>
      </c>
      <c r="D63" s="9" t="s">
        <v>384</v>
      </c>
      <c r="E63" s="9" t="s">
        <v>363</v>
      </c>
      <c r="F63" s="9"/>
      <c r="G63" s="9"/>
    </row>
    <row r="64" customFormat="false" ht="15" hidden="false" customHeight="true" outlineLevel="0" collapsed="false">
      <c r="A64" s="9" t="n">
        <v>3</v>
      </c>
      <c r="B64" s="9" t="s">
        <v>396</v>
      </c>
      <c r="C64" s="9" t="s">
        <v>366</v>
      </c>
      <c r="D64" s="9" t="s">
        <v>382</v>
      </c>
      <c r="E64" s="9" t="s">
        <v>363</v>
      </c>
      <c r="F64" s="9"/>
      <c r="G64" s="9"/>
    </row>
    <row r="65" customFormat="false" ht="15" hidden="false" customHeight="true" outlineLevel="0" collapsed="false">
      <c r="A65" s="9" t="n">
        <v>3</v>
      </c>
      <c r="B65" s="9" t="s">
        <v>397</v>
      </c>
      <c r="C65" s="9" t="s">
        <v>366</v>
      </c>
      <c r="D65" s="9" t="s">
        <v>384</v>
      </c>
      <c r="E65" s="9" t="s">
        <v>363</v>
      </c>
      <c r="F65" s="9"/>
      <c r="G65" s="9"/>
    </row>
    <row r="66" customFormat="false" ht="15" hidden="false" customHeight="true" outlineLevel="0" collapsed="false">
      <c r="A66" s="9" t="n">
        <v>3</v>
      </c>
      <c r="B66" s="9" t="s">
        <v>398</v>
      </c>
      <c r="C66" s="9" t="s">
        <v>366</v>
      </c>
      <c r="D66" s="9" t="s">
        <v>384</v>
      </c>
      <c r="E66" s="9" t="s">
        <v>363</v>
      </c>
      <c r="F66" s="9"/>
      <c r="G66" s="9"/>
    </row>
    <row r="67" customFormat="false" ht="15" hidden="false" customHeight="true" outlineLevel="0" collapsed="false">
      <c r="A67" s="9" t="n">
        <v>3</v>
      </c>
      <c r="B67" s="9" t="s">
        <v>399</v>
      </c>
      <c r="C67" s="9" t="s">
        <v>366</v>
      </c>
      <c r="D67" s="9" t="s">
        <v>394</v>
      </c>
      <c r="E67" s="9" t="s">
        <v>320</v>
      </c>
      <c r="F67" s="9"/>
      <c r="G67" s="9"/>
    </row>
    <row r="68" customFormat="false" ht="15" hidden="false" customHeight="true" outlineLevel="0" collapsed="false">
      <c r="A68" s="9" t="n">
        <v>3</v>
      </c>
      <c r="B68" s="9" t="s">
        <v>400</v>
      </c>
      <c r="C68" s="9" t="s">
        <v>366</v>
      </c>
      <c r="D68" s="9" t="s">
        <v>394</v>
      </c>
      <c r="E68" s="9" t="s">
        <v>320</v>
      </c>
      <c r="F68" s="9"/>
      <c r="G68" s="9"/>
    </row>
    <row r="69" customFormat="false" ht="15" hidden="false" customHeight="true" outlineLevel="0" collapsed="false">
      <c r="A69" s="9" t="n">
        <v>3</v>
      </c>
      <c r="B69" s="9" t="s">
        <v>401</v>
      </c>
      <c r="C69" s="9" t="s">
        <v>366</v>
      </c>
      <c r="D69" s="9" t="s">
        <v>394</v>
      </c>
      <c r="E69" s="9" t="s">
        <v>320</v>
      </c>
      <c r="F69" s="9"/>
      <c r="G69" s="9"/>
    </row>
    <row r="70" customFormat="false" ht="15" hidden="false" customHeight="true" outlineLevel="0" collapsed="false">
      <c r="A70" s="9" t="n">
        <v>3</v>
      </c>
      <c r="B70" s="9" t="s">
        <v>402</v>
      </c>
      <c r="C70" s="9" t="s">
        <v>366</v>
      </c>
      <c r="D70" s="9" t="s">
        <v>394</v>
      </c>
      <c r="E70" s="9" t="s">
        <v>320</v>
      </c>
      <c r="F70" s="9"/>
      <c r="G70" s="9"/>
    </row>
    <row r="71" customFormat="false" ht="15" hidden="false" customHeight="true" outlineLevel="0" collapsed="false">
      <c r="A71" s="9" t="n">
        <v>3</v>
      </c>
      <c r="B71" s="9" t="s">
        <v>403</v>
      </c>
      <c r="C71" s="9" t="s">
        <v>366</v>
      </c>
      <c r="D71" s="9" t="s">
        <v>394</v>
      </c>
      <c r="E71" s="9" t="s">
        <v>320</v>
      </c>
      <c r="F71" s="9"/>
      <c r="G71" s="9"/>
    </row>
    <row r="72" customFormat="false" ht="15" hidden="false" customHeight="true" outlineLevel="0" collapsed="false">
      <c r="A72" s="9" t="n">
        <v>3</v>
      </c>
      <c r="B72" s="9" t="s">
        <v>404</v>
      </c>
      <c r="C72" s="9" t="s">
        <v>366</v>
      </c>
      <c r="D72" s="9" t="s">
        <v>405</v>
      </c>
      <c r="E72" s="9" t="s">
        <v>352</v>
      </c>
      <c r="F72" s="9"/>
      <c r="G72" s="9"/>
    </row>
    <row r="73" customFormat="false" ht="15" hidden="false" customHeight="true" outlineLevel="0" collapsed="false">
      <c r="A73" s="9" t="n">
        <v>3</v>
      </c>
      <c r="B73" s="9" t="s">
        <v>406</v>
      </c>
      <c r="C73" s="9" t="s">
        <v>366</v>
      </c>
      <c r="D73" s="9" t="s">
        <v>407</v>
      </c>
      <c r="E73" s="9" t="s">
        <v>352</v>
      </c>
      <c r="F73" s="9"/>
      <c r="G73" s="9"/>
    </row>
    <row r="74" customFormat="false" ht="15" hidden="false" customHeight="true" outlineLevel="0" collapsed="false">
      <c r="A74" s="9" t="n">
        <v>3</v>
      </c>
      <c r="B74" s="9" t="s">
        <v>408</v>
      </c>
      <c r="C74" s="9" t="s">
        <v>366</v>
      </c>
      <c r="D74" s="9" t="s">
        <v>405</v>
      </c>
      <c r="E74" s="9" t="s">
        <v>352</v>
      </c>
      <c r="F74" s="9"/>
      <c r="G74" s="9"/>
    </row>
    <row r="75" customFormat="false" ht="15" hidden="false" customHeight="true" outlineLevel="0" collapsed="false">
      <c r="A75" s="9" t="n">
        <v>4</v>
      </c>
      <c r="B75" s="9" t="s">
        <v>409</v>
      </c>
      <c r="C75" s="9" t="s">
        <v>286</v>
      </c>
      <c r="D75" s="9" t="s">
        <v>410</v>
      </c>
      <c r="E75" s="9" t="s">
        <v>411</v>
      </c>
      <c r="F75" s="9"/>
      <c r="G75" s="9"/>
    </row>
    <row r="76" customFormat="false" ht="15" hidden="false" customHeight="true" outlineLevel="0" collapsed="false">
      <c r="A76" s="9" t="n">
        <v>4</v>
      </c>
      <c r="B76" s="9" t="s">
        <v>412</v>
      </c>
      <c r="C76" s="9" t="s">
        <v>286</v>
      </c>
      <c r="D76" s="9" t="s">
        <v>410</v>
      </c>
      <c r="E76" s="9" t="s">
        <v>411</v>
      </c>
      <c r="F76" s="9"/>
      <c r="G76" s="9"/>
    </row>
    <row r="77" customFormat="false" ht="15" hidden="false" customHeight="true" outlineLevel="0" collapsed="false">
      <c r="A77" s="9" t="n">
        <v>4</v>
      </c>
      <c r="B77" s="9" t="s">
        <v>413</v>
      </c>
      <c r="C77" s="9" t="s">
        <v>286</v>
      </c>
      <c r="D77" s="9" t="s">
        <v>410</v>
      </c>
      <c r="E77" s="9" t="s">
        <v>411</v>
      </c>
      <c r="F77" s="9"/>
      <c r="G77" s="9"/>
    </row>
    <row r="78" customFormat="false" ht="15" hidden="false" customHeight="true" outlineLevel="0" collapsed="false">
      <c r="A78" s="9" t="n">
        <v>4</v>
      </c>
      <c r="B78" s="9" t="s">
        <v>414</v>
      </c>
      <c r="C78" s="9" t="s">
        <v>286</v>
      </c>
      <c r="D78" s="9" t="s">
        <v>410</v>
      </c>
      <c r="E78" s="9" t="s">
        <v>411</v>
      </c>
      <c r="F78" s="9"/>
      <c r="G78" s="9"/>
    </row>
    <row r="79" customFormat="false" ht="15" hidden="false" customHeight="true" outlineLevel="0" collapsed="false">
      <c r="A79" s="9" t="n">
        <v>4</v>
      </c>
      <c r="B79" s="9" t="s">
        <v>415</v>
      </c>
      <c r="C79" s="9" t="s">
        <v>286</v>
      </c>
      <c r="D79" s="9" t="s">
        <v>410</v>
      </c>
      <c r="E79" s="9" t="s">
        <v>411</v>
      </c>
      <c r="F79" s="9"/>
      <c r="G79" s="9"/>
    </row>
    <row r="80" customFormat="false" ht="15" hidden="false" customHeight="true" outlineLevel="0" collapsed="false">
      <c r="A80" s="9" t="n">
        <v>4</v>
      </c>
      <c r="B80" s="9" t="s">
        <v>416</v>
      </c>
      <c r="C80" s="9" t="s">
        <v>286</v>
      </c>
      <c r="D80" s="9" t="s">
        <v>410</v>
      </c>
      <c r="E80" s="9" t="s">
        <v>411</v>
      </c>
      <c r="F80" s="9"/>
      <c r="G80" s="9"/>
    </row>
    <row r="81" customFormat="false" ht="15" hidden="false" customHeight="true" outlineLevel="0" collapsed="false">
      <c r="A81" s="9" t="n">
        <v>4</v>
      </c>
      <c r="B81" s="9" t="s">
        <v>417</v>
      </c>
      <c r="C81" s="9" t="s">
        <v>286</v>
      </c>
      <c r="D81" s="9" t="s">
        <v>410</v>
      </c>
      <c r="E81" s="9" t="s">
        <v>411</v>
      </c>
      <c r="F81" s="9"/>
      <c r="G81" s="9"/>
    </row>
    <row r="82" customFormat="false" ht="15" hidden="false" customHeight="true" outlineLevel="0" collapsed="false">
      <c r="A82" s="9" t="n">
        <v>4</v>
      </c>
      <c r="B82" s="9" t="s">
        <v>418</v>
      </c>
      <c r="C82" s="9" t="s">
        <v>286</v>
      </c>
      <c r="D82" s="9" t="s">
        <v>410</v>
      </c>
      <c r="E82" s="9" t="s">
        <v>411</v>
      </c>
      <c r="F82" s="9"/>
      <c r="G82" s="9"/>
    </row>
    <row r="83" customFormat="false" ht="15" hidden="false" customHeight="true" outlineLevel="0" collapsed="false">
      <c r="A83" s="9" t="n">
        <v>5</v>
      </c>
      <c r="B83" s="9" t="s">
        <v>419</v>
      </c>
      <c r="C83" s="9" t="s">
        <v>420</v>
      </c>
      <c r="D83" s="9" t="s">
        <v>421</v>
      </c>
      <c r="E83" s="9" t="s">
        <v>422</v>
      </c>
      <c r="F83" s="9"/>
      <c r="G83" s="9"/>
    </row>
    <row r="84" customFormat="false" ht="15" hidden="false" customHeight="true" outlineLevel="0" collapsed="false">
      <c r="A84" s="9" t="n">
        <v>5</v>
      </c>
      <c r="B84" s="9" t="s">
        <v>423</v>
      </c>
      <c r="C84" s="9" t="s">
        <v>420</v>
      </c>
      <c r="D84" s="9" t="s">
        <v>421</v>
      </c>
      <c r="E84" s="9" t="s">
        <v>422</v>
      </c>
      <c r="F84" s="9"/>
      <c r="G84" s="9"/>
    </row>
    <row r="85" customFormat="false" ht="15" hidden="false" customHeight="true" outlineLevel="0" collapsed="false">
      <c r="A85" s="9" t="n">
        <v>5</v>
      </c>
      <c r="B85" s="9" t="s">
        <v>424</v>
      </c>
      <c r="C85" s="9" t="s">
        <v>420</v>
      </c>
      <c r="D85" s="9" t="s">
        <v>421</v>
      </c>
      <c r="E85" s="9" t="s">
        <v>422</v>
      </c>
      <c r="F85" s="9"/>
      <c r="G85" s="9"/>
    </row>
    <row r="86" customFormat="false" ht="15" hidden="false" customHeight="true" outlineLevel="0" collapsed="false">
      <c r="A86" s="9" t="n">
        <v>5</v>
      </c>
      <c r="B86" s="9" t="s">
        <v>425</v>
      </c>
      <c r="C86" s="9" t="s">
        <v>420</v>
      </c>
      <c r="D86" s="9" t="s">
        <v>421</v>
      </c>
      <c r="E86" s="9" t="s">
        <v>422</v>
      </c>
      <c r="F86" s="9"/>
      <c r="G86" s="9"/>
    </row>
    <row r="87" customFormat="false" ht="15" hidden="false" customHeight="true" outlineLevel="0" collapsed="false">
      <c r="A87" s="9" t="n">
        <v>5</v>
      </c>
      <c r="B87" s="9" t="s">
        <v>426</v>
      </c>
      <c r="C87" s="9" t="s">
        <v>420</v>
      </c>
      <c r="D87" s="9" t="s">
        <v>421</v>
      </c>
      <c r="E87" s="9" t="s">
        <v>422</v>
      </c>
      <c r="F87" s="9"/>
      <c r="G87" s="9"/>
    </row>
    <row r="88" customFormat="false" ht="15" hidden="false" customHeight="true" outlineLevel="0" collapsed="false">
      <c r="A88" s="9" t="n">
        <v>6</v>
      </c>
      <c r="B88" s="9" t="s">
        <v>312</v>
      </c>
      <c r="C88" s="9" t="s">
        <v>293</v>
      </c>
      <c r="D88" s="9" t="s">
        <v>427</v>
      </c>
      <c r="E88" s="9" t="s">
        <v>293</v>
      </c>
      <c r="F88" s="9"/>
      <c r="G88" s="9"/>
    </row>
    <row r="89" customFormat="false" ht="15" hidden="false" customHeight="true" outlineLevel="0" collapsed="false">
      <c r="A89" s="9" t="n">
        <v>6</v>
      </c>
      <c r="B89" s="9" t="s">
        <v>315</v>
      </c>
      <c r="C89" s="9" t="s">
        <v>293</v>
      </c>
      <c r="D89" s="9" t="s">
        <v>427</v>
      </c>
      <c r="E89" s="9" t="s">
        <v>293</v>
      </c>
      <c r="F89" s="9"/>
      <c r="G89" s="9"/>
    </row>
    <row r="90" customFormat="false" ht="15" hidden="false" customHeight="true" outlineLevel="0" collapsed="false">
      <c r="A90" s="9" t="n">
        <v>6</v>
      </c>
      <c r="B90" s="9" t="s">
        <v>428</v>
      </c>
      <c r="C90" s="9" t="s">
        <v>293</v>
      </c>
      <c r="D90" s="9" t="s">
        <v>293</v>
      </c>
      <c r="E90" s="9" t="s">
        <v>293</v>
      </c>
      <c r="F90" s="9"/>
      <c r="G90" s="9"/>
    </row>
    <row r="91" customFormat="false" ht="15" hidden="false" customHeight="true" outlineLevel="0" collapsed="false">
      <c r="A91" s="9" t="n">
        <v>6</v>
      </c>
      <c r="B91" s="9" t="s">
        <v>429</v>
      </c>
      <c r="C91" s="9" t="s">
        <v>293</v>
      </c>
      <c r="D91" s="9" t="s">
        <v>293</v>
      </c>
      <c r="E91" s="9" t="s">
        <v>293</v>
      </c>
      <c r="F91" s="9"/>
      <c r="G91" s="9"/>
    </row>
    <row r="92" customFormat="false" ht="15" hidden="false" customHeight="true" outlineLevel="0" collapsed="false">
      <c r="A92" s="9" t="n">
        <v>6</v>
      </c>
      <c r="B92" s="9" t="s">
        <v>430</v>
      </c>
      <c r="C92" s="9" t="s">
        <v>293</v>
      </c>
      <c r="D92" s="9" t="s">
        <v>293</v>
      </c>
      <c r="E92" s="9" t="s">
        <v>293</v>
      </c>
      <c r="F92" s="9"/>
      <c r="G92" s="9"/>
    </row>
    <row r="93" customFormat="false" ht="15" hidden="false" customHeight="true" outlineLevel="0" collapsed="false">
      <c r="A93" s="9" t="n">
        <v>6</v>
      </c>
      <c r="B93" s="9" t="s">
        <v>431</v>
      </c>
      <c r="C93" s="9" t="s">
        <v>293</v>
      </c>
      <c r="D93" s="9" t="s">
        <v>293</v>
      </c>
      <c r="E93" s="9" t="s">
        <v>293</v>
      </c>
      <c r="F93" s="9"/>
      <c r="G93" s="9"/>
    </row>
    <row r="94" customFormat="false" ht="15" hidden="false" customHeight="true" outlineLevel="0" collapsed="false">
      <c r="A94" s="9" t="n">
        <v>6</v>
      </c>
      <c r="B94" s="9" t="s">
        <v>432</v>
      </c>
      <c r="C94" s="9" t="s">
        <v>293</v>
      </c>
      <c r="D94" s="9" t="s">
        <v>293</v>
      </c>
      <c r="E94" s="9" t="s">
        <v>293</v>
      </c>
      <c r="F94" s="9"/>
      <c r="G94" s="9"/>
    </row>
    <row r="95" customFormat="false" ht="15" hidden="false" customHeight="true" outlineLevel="0" collapsed="false">
      <c r="A95" s="9" t="n">
        <v>6</v>
      </c>
      <c r="B95" s="9" t="s">
        <v>433</v>
      </c>
      <c r="C95" s="9" t="s">
        <v>293</v>
      </c>
      <c r="D95" s="9" t="s">
        <v>293</v>
      </c>
      <c r="E95" s="9" t="s">
        <v>293</v>
      </c>
      <c r="F95" s="9"/>
      <c r="G95" s="9"/>
    </row>
    <row r="96" customFormat="false" ht="15" hidden="false" customHeight="true" outlineLevel="0" collapsed="false">
      <c r="A96" s="9" t="n">
        <v>6</v>
      </c>
      <c r="B96" s="9" t="s">
        <v>434</v>
      </c>
      <c r="C96" s="9" t="s">
        <v>293</v>
      </c>
      <c r="D96" s="9" t="s">
        <v>293</v>
      </c>
      <c r="E96" s="9" t="s">
        <v>293</v>
      </c>
      <c r="F96" s="9"/>
      <c r="G96" s="9"/>
    </row>
    <row r="97" customFormat="false" ht="15" hidden="false" customHeight="true" outlineLevel="0" collapsed="false">
      <c r="A97" s="9" t="n">
        <v>6</v>
      </c>
      <c r="B97" s="9" t="s">
        <v>435</v>
      </c>
      <c r="C97" s="9" t="s">
        <v>293</v>
      </c>
      <c r="D97" s="9" t="s">
        <v>293</v>
      </c>
      <c r="E97" s="9" t="s">
        <v>293</v>
      </c>
      <c r="F97" s="9"/>
      <c r="G97" s="9"/>
    </row>
    <row r="98" customFormat="false" ht="15" hidden="false" customHeight="true" outlineLevel="0" collapsed="false">
      <c r="A98" s="9" t="n">
        <v>6</v>
      </c>
      <c r="B98" s="9" t="s">
        <v>436</v>
      </c>
      <c r="C98" s="9" t="s">
        <v>293</v>
      </c>
      <c r="D98" s="9" t="s">
        <v>293</v>
      </c>
      <c r="E98" s="9" t="s">
        <v>293</v>
      </c>
      <c r="F98" s="9"/>
      <c r="G98" s="9"/>
    </row>
    <row r="99" customFormat="false" ht="15" hidden="false" customHeight="true" outlineLevel="0" collapsed="false">
      <c r="A99" s="9" t="n">
        <v>6</v>
      </c>
      <c r="B99" s="9" t="s">
        <v>437</v>
      </c>
      <c r="C99" s="9" t="s">
        <v>293</v>
      </c>
      <c r="D99" s="9" t="s">
        <v>293</v>
      </c>
      <c r="E99" s="9" t="s">
        <v>293</v>
      </c>
      <c r="F99" s="9"/>
      <c r="G99" s="9"/>
    </row>
    <row r="100" customFormat="false" ht="15" hidden="false" customHeight="true" outlineLevel="0" collapsed="false">
      <c r="A100" s="9" t="n">
        <v>6</v>
      </c>
      <c r="B100" s="9" t="s">
        <v>438</v>
      </c>
      <c r="C100" s="9" t="s">
        <v>293</v>
      </c>
      <c r="D100" s="9" t="s">
        <v>293</v>
      </c>
      <c r="E100" s="9" t="s">
        <v>293</v>
      </c>
      <c r="F100" s="9"/>
      <c r="G100" s="9"/>
    </row>
    <row r="101" customFormat="false" ht="15" hidden="false" customHeight="true" outlineLevel="0" collapsed="false">
      <c r="A101" s="9" t="n">
        <v>6</v>
      </c>
      <c r="B101" s="9" t="s">
        <v>439</v>
      </c>
      <c r="C101" s="9" t="s">
        <v>293</v>
      </c>
      <c r="D101" s="9" t="s">
        <v>293</v>
      </c>
      <c r="E101" s="9" t="s">
        <v>293</v>
      </c>
      <c r="F101" s="9"/>
      <c r="G101" s="9"/>
    </row>
    <row r="102" customFormat="false" ht="15" hidden="false" customHeight="true" outlineLevel="0" collapsed="false">
      <c r="A102" s="9" t="n">
        <v>6</v>
      </c>
      <c r="B102" s="9" t="s">
        <v>440</v>
      </c>
      <c r="C102" s="9" t="s">
        <v>293</v>
      </c>
      <c r="D102" s="9" t="s">
        <v>293</v>
      </c>
      <c r="E102" s="9" t="s">
        <v>293</v>
      </c>
      <c r="F102" s="9"/>
      <c r="G102" s="9"/>
    </row>
    <row r="103" customFormat="false" ht="15" hidden="false" customHeight="true" outlineLevel="0" collapsed="false">
      <c r="A103" s="9" t="n">
        <v>6</v>
      </c>
      <c r="B103" s="9" t="s">
        <v>441</v>
      </c>
      <c r="C103" s="9" t="s">
        <v>293</v>
      </c>
      <c r="D103" s="9" t="s">
        <v>293</v>
      </c>
      <c r="E103" s="9" t="s">
        <v>293</v>
      </c>
      <c r="F103" s="9"/>
      <c r="G103" s="9"/>
    </row>
    <row r="104" customFormat="false" ht="15" hidden="false" customHeight="true" outlineLevel="0" collapsed="false">
      <c r="A104" s="9" t="n">
        <v>6</v>
      </c>
      <c r="B104" s="9" t="s">
        <v>442</v>
      </c>
      <c r="C104" s="9" t="s">
        <v>293</v>
      </c>
      <c r="D104" s="9" t="s">
        <v>293</v>
      </c>
      <c r="E104" s="9" t="s">
        <v>293</v>
      </c>
      <c r="F104" s="9"/>
      <c r="G104" s="9"/>
    </row>
    <row r="105" customFormat="false" ht="15" hidden="false" customHeight="true" outlineLevel="0" collapsed="false">
      <c r="A105" s="9" t="n">
        <v>6</v>
      </c>
      <c r="B105" s="9" t="s">
        <v>443</v>
      </c>
      <c r="C105" s="9" t="s">
        <v>293</v>
      </c>
      <c r="D105" s="9" t="s">
        <v>293</v>
      </c>
      <c r="E105" s="9" t="s">
        <v>293</v>
      </c>
      <c r="F105" s="9"/>
      <c r="G105" s="9"/>
    </row>
    <row r="106" customFormat="false" ht="15" hidden="false" customHeight="true" outlineLevel="0" collapsed="false">
      <c r="A106" s="9" t="n">
        <v>6</v>
      </c>
      <c r="B106" s="9" t="s">
        <v>444</v>
      </c>
      <c r="C106" s="9" t="s">
        <v>293</v>
      </c>
      <c r="D106" s="9" t="s">
        <v>293</v>
      </c>
      <c r="E106" s="9" t="s">
        <v>293</v>
      </c>
      <c r="F106" s="9"/>
      <c r="G106" s="9"/>
    </row>
    <row r="107" customFormat="false" ht="15" hidden="false" customHeight="true" outlineLevel="0" collapsed="false">
      <c r="A107" s="9" t="n">
        <v>6</v>
      </c>
      <c r="B107" s="9" t="s">
        <v>445</v>
      </c>
      <c r="C107" s="9" t="s">
        <v>293</v>
      </c>
      <c r="D107" s="9" t="s">
        <v>293</v>
      </c>
      <c r="E107" s="9" t="s">
        <v>293</v>
      </c>
      <c r="F107" s="9"/>
      <c r="G107" s="9"/>
    </row>
    <row r="108" customFormat="false" ht="15" hidden="false" customHeight="true" outlineLevel="0" collapsed="false">
      <c r="A108" s="9" t="n">
        <v>6</v>
      </c>
      <c r="B108" s="9" t="s">
        <v>446</v>
      </c>
      <c r="C108" s="9" t="s">
        <v>293</v>
      </c>
      <c r="D108" s="9" t="s">
        <v>293</v>
      </c>
      <c r="E108" s="9" t="s">
        <v>293</v>
      </c>
      <c r="F108" s="9"/>
      <c r="G108" s="9"/>
    </row>
    <row r="109" customFormat="false" ht="15" hidden="false" customHeight="true" outlineLevel="0" collapsed="false">
      <c r="A109" s="9" t="n">
        <v>6</v>
      </c>
      <c r="B109" s="9" t="s">
        <v>447</v>
      </c>
      <c r="C109" s="9" t="s">
        <v>293</v>
      </c>
      <c r="D109" s="9" t="s">
        <v>293</v>
      </c>
      <c r="E109" s="9" t="s">
        <v>293</v>
      </c>
      <c r="F109" s="9"/>
      <c r="G109" s="9"/>
    </row>
    <row r="110" customFormat="false" ht="15" hidden="false" customHeight="true" outlineLevel="0" collapsed="false">
      <c r="A110" s="9" t="n">
        <v>6</v>
      </c>
      <c r="B110" s="9" t="s">
        <v>448</v>
      </c>
      <c r="C110" s="9" t="s">
        <v>293</v>
      </c>
      <c r="D110" s="9" t="s">
        <v>293</v>
      </c>
      <c r="E110" s="9" t="s">
        <v>293</v>
      </c>
      <c r="F110" s="9"/>
      <c r="G110" s="9"/>
    </row>
  </sheetData>
  <autoFilter ref="A1:G1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12"/>
    <col collapsed="false" customWidth="true" hidden="false" outlineLevel="0" max="5" min="4" style="1" width="18"/>
    <col collapsed="false" customWidth="true" hidden="false" outlineLevel="0" max="6" min="6" style="1" width="24"/>
    <col collapsed="false" customWidth="true" hidden="false" outlineLevel="0" max="7" min="7" style="1" width="22"/>
  </cols>
  <sheetData>
    <row r="1" customFormat="false" ht="23.25" hidden="false" customHeight="true" outlineLevel="0" collapsed="false">
      <c r="A1" s="8" t="s">
        <v>22</v>
      </c>
      <c r="B1" s="8" t="s">
        <v>25</v>
      </c>
      <c r="C1" s="8" t="s">
        <v>27</v>
      </c>
      <c r="D1" s="8" t="s">
        <v>449</v>
      </c>
      <c r="E1" s="8" t="s">
        <v>450</v>
      </c>
      <c r="F1" s="8" t="s">
        <v>451</v>
      </c>
      <c r="G1" s="8" t="s">
        <v>452</v>
      </c>
    </row>
    <row r="2" customFormat="false" ht="15" hidden="false" customHeight="true" outlineLevel="0" collapsed="false">
      <c r="A2" s="9" t="s">
        <v>312</v>
      </c>
      <c r="B2" s="9" t="s">
        <v>39</v>
      </c>
      <c r="C2" s="9" t="s">
        <v>33</v>
      </c>
      <c r="D2" s="9"/>
      <c r="E2" s="9"/>
      <c r="F2" s="9"/>
      <c r="G2" s="9"/>
    </row>
    <row r="3" customFormat="false" ht="15" hidden="false" customHeight="true" outlineLevel="0" collapsed="false">
      <c r="A3" s="9" t="s">
        <v>315</v>
      </c>
      <c r="B3" s="9" t="s">
        <v>39</v>
      </c>
      <c r="C3" s="9" t="s">
        <v>33</v>
      </c>
      <c r="D3" s="9"/>
      <c r="E3" s="9"/>
      <c r="F3" s="9"/>
      <c r="G3" s="9"/>
    </row>
    <row r="4" customFormat="false" ht="15" hidden="false" customHeight="true" outlineLevel="0" collapsed="false">
      <c r="A4" s="9" t="s">
        <v>292</v>
      </c>
      <c r="B4" s="9" t="s">
        <v>33</v>
      </c>
      <c r="C4" s="9" t="s">
        <v>39</v>
      </c>
      <c r="D4" s="9"/>
      <c r="E4" s="9"/>
      <c r="F4" s="9"/>
      <c r="G4" s="9"/>
    </row>
    <row r="5" customFormat="false" ht="15" hidden="false" customHeight="true" outlineLevel="0" collapsed="false">
      <c r="A5" s="9" t="s">
        <v>428</v>
      </c>
      <c r="B5" s="9" t="s">
        <v>39</v>
      </c>
      <c r="C5" s="9" t="s">
        <v>33</v>
      </c>
      <c r="D5" s="9"/>
      <c r="E5" s="9"/>
      <c r="F5" s="9"/>
      <c r="G5" s="9"/>
    </row>
    <row r="6" customFormat="false" ht="15" hidden="false" customHeight="true" outlineLevel="0" collapsed="false">
      <c r="A6" s="9" t="s">
        <v>453</v>
      </c>
      <c r="B6" s="9" t="s">
        <v>33</v>
      </c>
      <c r="C6" s="9" t="s">
        <v>33</v>
      </c>
      <c r="D6" s="9"/>
      <c r="E6" s="9"/>
      <c r="F6" s="9"/>
      <c r="G6" s="9"/>
    </row>
    <row r="7" customFormat="false" ht="15" hidden="false" customHeight="true" outlineLevel="0" collapsed="false">
      <c r="A7" s="9" t="s">
        <v>454</v>
      </c>
      <c r="B7" s="9" t="s">
        <v>33</v>
      </c>
      <c r="C7" s="9" t="s">
        <v>33</v>
      </c>
      <c r="D7" s="9"/>
      <c r="E7" s="9"/>
      <c r="F7" s="9"/>
      <c r="G7" s="9"/>
    </row>
    <row r="8" customFormat="false" ht="15" hidden="false" customHeight="true" outlineLevel="0" collapsed="false">
      <c r="A8" s="9" t="s">
        <v>455</v>
      </c>
      <c r="B8" s="9" t="s">
        <v>33</v>
      </c>
      <c r="C8" s="9" t="s">
        <v>33</v>
      </c>
      <c r="D8" s="9"/>
      <c r="E8" s="9"/>
      <c r="F8" s="9"/>
      <c r="G8" s="9"/>
    </row>
    <row r="9" customFormat="false" ht="15" hidden="false" customHeight="true" outlineLevel="0" collapsed="false">
      <c r="A9" s="9" t="s">
        <v>456</v>
      </c>
      <c r="B9" s="9" t="s">
        <v>33</v>
      </c>
      <c r="C9" s="9" t="s">
        <v>33</v>
      </c>
      <c r="D9" s="9"/>
      <c r="E9" s="9"/>
      <c r="F9" s="9"/>
      <c r="G9" s="9"/>
    </row>
    <row r="10" customFormat="false" ht="15" hidden="false" customHeight="true" outlineLevel="0" collapsed="false">
      <c r="A10" s="9" t="s">
        <v>457</v>
      </c>
      <c r="B10" s="9" t="s">
        <v>33</v>
      </c>
      <c r="C10" s="9" t="s">
        <v>33</v>
      </c>
      <c r="D10" s="9"/>
      <c r="E10" s="9"/>
      <c r="F10" s="9"/>
      <c r="G10" s="9"/>
    </row>
    <row r="11" customFormat="false" ht="15" hidden="false" customHeight="true" outlineLevel="0" collapsed="false">
      <c r="A11" s="9" t="s">
        <v>294</v>
      </c>
      <c r="B11" s="9" t="s">
        <v>33</v>
      </c>
      <c r="C11" s="9" t="s">
        <v>39</v>
      </c>
      <c r="D11" s="9"/>
      <c r="E11" s="9"/>
      <c r="F11" s="9"/>
      <c r="G11" s="9"/>
    </row>
    <row r="12" customFormat="false" ht="15" hidden="false" customHeight="true" outlineLevel="0" collapsed="false">
      <c r="A12" s="9" t="s">
        <v>458</v>
      </c>
      <c r="B12" s="9" t="s">
        <v>33</v>
      </c>
      <c r="C12" s="9" t="s">
        <v>33</v>
      </c>
      <c r="D12" s="9"/>
      <c r="E12" s="9"/>
      <c r="F12" s="9"/>
      <c r="G12" s="9"/>
    </row>
    <row r="13" customFormat="false" ht="15" hidden="false" customHeight="true" outlineLevel="0" collapsed="false">
      <c r="A13" s="9" t="s">
        <v>459</v>
      </c>
      <c r="B13" s="9" t="s">
        <v>33</v>
      </c>
      <c r="C13" s="9" t="s">
        <v>33</v>
      </c>
      <c r="D13" s="9"/>
      <c r="E13" s="9"/>
      <c r="F13" s="9"/>
      <c r="G13" s="9"/>
    </row>
    <row r="14" customFormat="false" ht="15" hidden="false" customHeight="true" outlineLevel="0" collapsed="false">
      <c r="A14" s="9" t="s">
        <v>460</v>
      </c>
      <c r="B14" s="9" t="s">
        <v>33</v>
      </c>
      <c r="C14" s="9" t="s">
        <v>33</v>
      </c>
      <c r="D14" s="9"/>
      <c r="E14" s="9"/>
      <c r="F14" s="9"/>
      <c r="G14" s="9"/>
    </row>
    <row r="15" customFormat="false" ht="15" hidden="false" customHeight="true" outlineLevel="0" collapsed="false">
      <c r="A15" s="9" t="s">
        <v>461</v>
      </c>
      <c r="B15" s="9" t="s">
        <v>33</v>
      </c>
      <c r="C15" s="9" t="s">
        <v>33</v>
      </c>
      <c r="D15" s="9"/>
      <c r="E15" s="9"/>
      <c r="F15" s="9"/>
      <c r="G15" s="9"/>
    </row>
    <row r="16" customFormat="false" ht="15" hidden="false" customHeight="true" outlineLevel="0" collapsed="false">
      <c r="A16" s="9" t="s">
        <v>462</v>
      </c>
      <c r="B16" s="9" t="s">
        <v>33</v>
      </c>
      <c r="C16" s="9" t="s">
        <v>33</v>
      </c>
      <c r="D16" s="9"/>
      <c r="E16" s="9"/>
      <c r="F16" s="9"/>
      <c r="G16" s="9"/>
    </row>
    <row r="17" customFormat="false" ht="15" hidden="false" customHeight="true" outlineLevel="0" collapsed="false">
      <c r="A17" s="9" t="s">
        <v>463</v>
      </c>
      <c r="B17" s="9" t="s">
        <v>33</v>
      </c>
      <c r="C17" s="9" t="s">
        <v>33</v>
      </c>
      <c r="D17" s="9"/>
      <c r="E17" s="9"/>
      <c r="F17" s="9"/>
      <c r="G17" s="9"/>
    </row>
    <row r="18" customFormat="false" ht="15" hidden="false" customHeight="true" outlineLevel="0" collapsed="false">
      <c r="A18" s="9" t="s">
        <v>464</v>
      </c>
      <c r="B18" s="9" t="s">
        <v>33</v>
      </c>
      <c r="C18" s="9" t="s">
        <v>33</v>
      </c>
      <c r="D18" s="9"/>
      <c r="E18" s="9"/>
      <c r="F18" s="9"/>
      <c r="G18" s="9"/>
    </row>
    <row r="19" customFormat="false" ht="15" hidden="false" customHeight="true" outlineLevel="0" collapsed="false">
      <c r="A19" s="9" t="s">
        <v>295</v>
      </c>
      <c r="B19" s="9" t="s">
        <v>33</v>
      </c>
      <c r="C19" s="9" t="s">
        <v>39</v>
      </c>
      <c r="D19" s="9"/>
      <c r="E19" s="9"/>
      <c r="F19" s="9"/>
      <c r="G19" s="9"/>
    </row>
    <row r="20" customFormat="false" ht="15" hidden="false" customHeight="true" outlineLevel="0" collapsed="false">
      <c r="A20" s="9" t="s">
        <v>465</v>
      </c>
      <c r="B20" s="9" t="s">
        <v>33</v>
      </c>
      <c r="C20" s="9" t="s">
        <v>33</v>
      </c>
      <c r="D20" s="9"/>
      <c r="E20" s="9"/>
      <c r="F20" s="9"/>
      <c r="G20" s="9"/>
    </row>
    <row r="21" customFormat="false" ht="15" hidden="false" customHeight="true" outlineLevel="0" collapsed="false">
      <c r="A21" s="9" t="s">
        <v>466</v>
      </c>
      <c r="B21" s="9" t="s">
        <v>33</v>
      </c>
      <c r="C21" s="9" t="s">
        <v>33</v>
      </c>
      <c r="D21" s="9"/>
      <c r="E21" s="9"/>
      <c r="F21" s="9"/>
      <c r="G21" s="9"/>
    </row>
    <row r="22" customFormat="false" ht="15" hidden="false" customHeight="true" outlineLevel="0" collapsed="false">
      <c r="A22" s="9" t="s">
        <v>429</v>
      </c>
      <c r="B22" s="9" t="s">
        <v>39</v>
      </c>
      <c r="C22" s="9" t="s">
        <v>33</v>
      </c>
      <c r="D22" s="9"/>
      <c r="E22" s="9"/>
      <c r="F22" s="9"/>
      <c r="G22" s="9"/>
    </row>
    <row r="23" customFormat="false" ht="15" hidden="false" customHeight="true" outlineLevel="0" collapsed="false">
      <c r="A23" s="9" t="s">
        <v>467</v>
      </c>
      <c r="B23" s="9" t="s">
        <v>33</v>
      </c>
      <c r="C23" s="9" t="s">
        <v>33</v>
      </c>
      <c r="D23" s="9"/>
      <c r="E23" s="9"/>
      <c r="F23" s="9"/>
      <c r="G23" s="9"/>
    </row>
    <row r="24" customFormat="false" ht="15" hidden="false" customHeight="true" outlineLevel="0" collapsed="false">
      <c r="A24" s="9" t="s">
        <v>468</v>
      </c>
      <c r="B24" s="9" t="s">
        <v>33</v>
      </c>
      <c r="C24" s="9" t="s">
        <v>33</v>
      </c>
      <c r="D24" s="9"/>
      <c r="E24" s="9"/>
      <c r="F24" s="9"/>
      <c r="G24" s="9"/>
    </row>
    <row r="25" customFormat="false" ht="15" hidden="false" customHeight="true" outlineLevel="0" collapsed="false">
      <c r="A25" s="9" t="s">
        <v>469</v>
      </c>
      <c r="B25" s="9" t="s">
        <v>33</v>
      </c>
      <c r="C25" s="9" t="s">
        <v>33</v>
      </c>
      <c r="D25" s="9"/>
      <c r="E25" s="9"/>
      <c r="F25" s="9"/>
      <c r="G25" s="9"/>
    </row>
    <row r="26" customFormat="false" ht="15" hidden="false" customHeight="true" outlineLevel="0" collapsed="false">
      <c r="A26" s="9" t="s">
        <v>470</v>
      </c>
      <c r="B26" s="9" t="s">
        <v>33</v>
      </c>
      <c r="C26" s="9" t="s">
        <v>33</v>
      </c>
      <c r="D26" s="9"/>
      <c r="E26" s="9"/>
      <c r="F26" s="9"/>
      <c r="G26" s="9"/>
    </row>
    <row r="27" customFormat="false" ht="15" hidden="false" customHeight="true" outlineLevel="0" collapsed="false">
      <c r="A27" s="9" t="s">
        <v>471</v>
      </c>
      <c r="B27" s="9" t="s">
        <v>33</v>
      </c>
      <c r="C27" s="9" t="s">
        <v>33</v>
      </c>
      <c r="D27" s="9"/>
      <c r="E27" s="9"/>
      <c r="F27" s="9"/>
      <c r="G27" s="9"/>
    </row>
    <row r="28" customFormat="false" ht="15" hidden="false" customHeight="true" outlineLevel="0" collapsed="false">
      <c r="A28" s="9" t="s">
        <v>430</v>
      </c>
      <c r="B28" s="9" t="s">
        <v>39</v>
      </c>
      <c r="C28" s="9" t="s">
        <v>33</v>
      </c>
      <c r="D28" s="9"/>
      <c r="E28" s="9"/>
      <c r="F28" s="9"/>
      <c r="G28" s="9"/>
    </row>
    <row r="29" customFormat="false" ht="15" hidden="false" customHeight="true" outlineLevel="0" collapsed="false">
      <c r="A29" s="9" t="s">
        <v>472</v>
      </c>
      <c r="B29" s="9" t="s">
        <v>33</v>
      </c>
      <c r="C29" s="9" t="s">
        <v>33</v>
      </c>
      <c r="D29" s="9"/>
      <c r="E29" s="9"/>
      <c r="F29" s="9"/>
      <c r="G29" s="9"/>
    </row>
    <row r="30" customFormat="false" ht="15" hidden="false" customHeight="true" outlineLevel="0" collapsed="false">
      <c r="A30" s="9" t="s">
        <v>473</v>
      </c>
      <c r="B30" s="9" t="s">
        <v>33</v>
      </c>
      <c r="C30" s="9" t="s">
        <v>33</v>
      </c>
      <c r="D30" s="9"/>
      <c r="E30" s="9"/>
      <c r="F30" s="9"/>
      <c r="G30" s="9"/>
    </row>
    <row r="31" customFormat="false" ht="15" hidden="false" customHeight="true" outlineLevel="0" collapsed="false">
      <c r="A31" s="9" t="s">
        <v>431</v>
      </c>
      <c r="B31" s="9" t="s">
        <v>39</v>
      </c>
      <c r="C31" s="9" t="s">
        <v>33</v>
      </c>
      <c r="D31" s="9"/>
      <c r="E31" s="9"/>
      <c r="F31" s="9"/>
      <c r="G31" s="9"/>
    </row>
    <row r="32" customFormat="false" ht="15" hidden="false" customHeight="true" outlineLevel="0" collapsed="false">
      <c r="A32" s="9" t="s">
        <v>474</v>
      </c>
      <c r="B32" s="9" t="s">
        <v>33</v>
      </c>
      <c r="C32" s="9" t="s">
        <v>33</v>
      </c>
      <c r="D32" s="9"/>
      <c r="E32" s="9"/>
      <c r="F32" s="9"/>
      <c r="G32" s="9"/>
    </row>
    <row r="33" customFormat="false" ht="15" hidden="false" customHeight="true" outlineLevel="0" collapsed="false">
      <c r="A33" s="9" t="s">
        <v>475</v>
      </c>
      <c r="B33" s="9" t="s">
        <v>33</v>
      </c>
      <c r="C33" s="9" t="s">
        <v>33</v>
      </c>
      <c r="D33" s="9"/>
      <c r="E33" s="9"/>
      <c r="F33" s="9"/>
      <c r="G33" s="9"/>
    </row>
    <row r="34" customFormat="false" ht="15" hidden="false" customHeight="true" outlineLevel="0" collapsed="false">
      <c r="A34" s="9" t="s">
        <v>476</v>
      </c>
      <c r="B34" s="9" t="s">
        <v>33</v>
      </c>
      <c r="C34" s="9" t="s">
        <v>33</v>
      </c>
      <c r="D34" s="9"/>
      <c r="E34" s="9"/>
      <c r="F34" s="9"/>
      <c r="G34" s="9"/>
    </row>
    <row r="35" customFormat="false" ht="15" hidden="false" customHeight="true" outlineLevel="0" collapsed="false">
      <c r="A35" s="9" t="s">
        <v>477</v>
      </c>
      <c r="B35" s="9" t="s">
        <v>33</v>
      </c>
      <c r="C35" s="9" t="s">
        <v>33</v>
      </c>
      <c r="D35" s="9"/>
      <c r="E35" s="9"/>
      <c r="F35" s="9"/>
      <c r="G35" s="9"/>
    </row>
    <row r="36" customFormat="false" ht="15" hidden="false" customHeight="true" outlineLevel="0" collapsed="false">
      <c r="A36" s="9" t="s">
        <v>478</v>
      </c>
      <c r="B36" s="9" t="s">
        <v>33</v>
      </c>
      <c r="C36" s="9" t="s">
        <v>33</v>
      </c>
      <c r="D36" s="9"/>
      <c r="E36" s="9"/>
      <c r="F36" s="9"/>
      <c r="G36" s="9"/>
    </row>
    <row r="37" customFormat="false" ht="15" hidden="false" customHeight="true" outlineLevel="0" collapsed="false">
      <c r="A37" s="9" t="s">
        <v>479</v>
      </c>
      <c r="B37" s="9" t="s">
        <v>33</v>
      </c>
      <c r="C37" s="9" t="s">
        <v>33</v>
      </c>
      <c r="D37" s="9"/>
      <c r="E37" s="9"/>
      <c r="F37" s="9"/>
      <c r="G37" s="9"/>
    </row>
    <row r="38" customFormat="false" ht="15" hidden="false" customHeight="true" outlineLevel="0" collapsed="false">
      <c r="A38" s="9" t="s">
        <v>296</v>
      </c>
      <c r="B38" s="9" t="s">
        <v>33</v>
      </c>
      <c r="C38" s="9" t="s">
        <v>39</v>
      </c>
      <c r="D38" s="9"/>
      <c r="E38" s="9"/>
      <c r="F38" s="9"/>
      <c r="G38" s="9"/>
    </row>
    <row r="39" customFormat="false" ht="15" hidden="false" customHeight="true" outlineLevel="0" collapsed="false">
      <c r="A39" s="9" t="s">
        <v>432</v>
      </c>
      <c r="B39" s="9" t="s">
        <v>39</v>
      </c>
      <c r="C39" s="9" t="s">
        <v>33</v>
      </c>
      <c r="D39" s="9"/>
      <c r="E39" s="9"/>
      <c r="F39" s="9"/>
      <c r="G39" s="9"/>
    </row>
    <row r="40" customFormat="false" ht="15" hidden="false" customHeight="true" outlineLevel="0" collapsed="false">
      <c r="A40" s="9" t="s">
        <v>480</v>
      </c>
      <c r="B40" s="9" t="s">
        <v>33</v>
      </c>
      <c r="C40" s="9" t="s">
        <v>33</v>
      </c>
      <c r="D40" s="9"/>
      <c r="E40" s="9"/>
      <c r="F40" s="9"/>
      <c r="G40" s="9"/>
    </row>
    <row r="41" customFormat="false" ht="15" hidden="false" customHeight="true" outlineLevel="0" collapsed="false">
      <c r="A41" s="9" t="s">
        <v>481</v>
      </c>
      <c r="B41" s="9" t="s">
        <v>33</v>
      </c>
      <c r="C41" s="9" t="s">
        <v>33</v>
      </c>
      <c r="D41" s="9"/>
      <c r="E41" s="9"/>
      <c r="F41" s="9"/>
      <c r="G41" s="9"/>
    </row>
    <row r="42" customFormat="false" ht="15" hidden="false" customHeight="true" outlineLevel="0" collapsed="false">
      <c r="A42" s="9" t="s">
        <v>297</v>
      </c>
      <c r="B42" s="9" t="s">
        <v>33</v>
      </c>
      <c r="C42" s="9" t="s">
        <v>39</v>
      </c>
      <c r="D42" s="9"/>
      <c r="E42" s="9"/>
      <c r="F42" s="9"/>
      <c r="G42" s="9"/>
    </row>
    <row r="43" customFormat="false" ht="15" hidden="false" customHeight="true" outlineLevel="0" collapsed="false">
      <c r="A43" s="9" t="s">
        <v>433</v>
      </c>
      <c r="B43" s="9" t="s">
        <v>39</v>
      </c>
      <c r="C43" s="9" t="s">
        <v>33</v>
      </c>
      <c r="D43" s="9"/>
      <c r="E43" s="9"/>
      <c r="F43" s="9"/>
      <c r="G43" s="9"/>
    </row>
    <row r="44" customFormat="false" ht="15" hidden="false" customHeight="true" outlineLevel="0" collapsed="false">
      <c r="A44" s="9" t="s">
        <v>434</v>
      </c>
      <c r="B44" s="9" t="s">
        <v>39</v>
      </c>
      <c r="C44" s="9" t="s">
        <v>33</v>
      </c>
      <c r="D44" s="9"/>
      <c r="E44" s="9"/>
      <c r="F44" s="9"/>
      <c r="G44" s="9"/>
    </row>
    <row r="45" customFormat="false" ht="15" hidden="false" customHeight="true" outlineLevel="0" collapsed="false">
      <c r="A45" s="9" t="s">
        <v>482</v>
      </c>
      <c r="B45" s="9" t="s">
        <v>33</v>
      </c>
      <c r="C45" s="9" t="s">
        <v>33</v>
      </c>
      <c r="D45" s="9"/>
      <c r="E45" s="9"/>
      <c r="F45" s="9"/>
      <c r="G45" s="9"/>
    </row>
    <row r="46" customFormat="false" ht="15" hidden="false" customHeight="true" outlineLevel="0" collapsed="false">
      <c r="A46" s="9" t="s">
        <v>483</v>
      </c>
      <c r="B46" s="9" t="s">
        <v>33</v>
      </c>
      <c r="C46" s="9" t="s">
        <v>33</v>
      </c>
      <c r="D46" s="9"/>
      <c r="E46" s="9"/>
      <c r="F46" s="9"/>
      <c r="G46" s="9"/>
    </row>
    <row r="47" customFormat="false" ht="15" hidden="false" customHeight="true" outlineLevel="0" collapsed="false">
      <c r="A47" s="9" t="s">
        <v>484</v>
      </c>
      <c r="B47" s="9" t="s">
        <v>33</v>
      </c>
      <c r="C47" s="9" t="s">
        <v>33</v>
      </c>
      <c r="D47" s="9"/>
      <c r="E47" s="9"/>
      <c r="F47" s="9"/>
      <c r="G47" s="9"/>
    </row>
    <row r="48" customFormat="false" ht="15" hidden="false" customHeight="true" outlineLevel="0" collapsed="false">
      <c r="A48" s="9" t="s">
        <v>435</v>
      </c>
      <c r="B48" s="9" t="s">
        <v>39</v>
      </c>
      <c r="C48" s="9" t="s">
        <v>33</v>
      </c>
      <c r="D48" s="9"/>
      <c r="E48" s="9"/>
      <c r="F48" s="9"/>
      <c r="G48" s="9"/>
    </row>
    <row r="49" customFormat="false" ht="15" hidden="false" customHeight="true" outlineLevel="0" collapsed="false">
      <c r="A49" s="9" t="s">
        <v>436</v>
      </c>
      <c r="B49" s="9" t="s">
        <v>39</v>
      </c>
      <c r="C49" s="9" t="s">
        <v>33</v>
      </c>
      <c r="D49" s="9"/>
      <c r="E49" s="9"/>
      <c r="F49" s="9"/>
      <c r="G49" s="9"/>
    </row>
    <row r="50" customFormat="false" ht="15" hidden="false" customHeight="true" outlineLevel="0" collapsed="false">
      <c r="A50" s="9" t="s">
        <v>485</v>
      </c>
      <c r="B50" s="9" t="s">
        <v>33</v>
      </c>
      <c r="C50" s="9" t="s">
        <v>33</v>
      </c>
      <c r="D50" s="9"/>
      <c r="E50" s="9"/>
      <c r="F50" s="9"/>
      <c r="G50" s="9"/>
    </row>
    <row r="51" customFormat="false" ht="15" hidden="false" customHeight="true" outlineLevel="0" collapsed="false">
      <c r="A51" s="9" t="s">
        <v>486</v>
      </c>
      <c r="B51" s="9" t="s">
        <v>33</v>
      </c>
      <c r="C51" s="9" t="s">
        <v>33</v>
      </c>
      <c r="D51" s="9"/>
      <c r="E51" s="9"/>
      <c r="F51" s="9"/>
      <c r="G51" s="9"/>
    </row>
    <row r="52" customFormat="false" ht="15" hidden="false" customHeight="true" outlineLevel="0" collapsed="false">
      <c r="A52" s="9" t="s">
        <v>487</v>
      </c>
      <c r="B52" s="9" t="s">
        <v>33</v>
      </c>
      <c r="C52" s="9" t="s">
        <v>33</v>
      </c>
      <c r="D52" s="9"/>
      <c r="E52" s="9"/>
      <c r="F52" s="9"/>
      <c r="G52" s="9"/>
    </row>
    <row r="53" customFormat="false" ht="15" hidden="false" customHeight="true" outlineLevel="0" collapsed="false">
      <c r="A53" s="9" t="s">
        <v>437</v>
      </c>
      <c r="B53" s="9" t="s">
        <v>39</v>
      </c>
      <c r="C53" s="9" t="s">
        <v>33</v>
      </c>
      <c r="D53" s="9"/>
      <c r="E53" s="9"/>
      <c r="F53" s="9"/>
      <c r="G53" s="9"/>
    </row>
    <row r="54" customFormat="false" ht="15" hidden="false" customHeight="true" outlineLevel="0" collapsed="false">
      <c r="A54" s="9" t="s">
        <v>298</v>
      </c>
      <c r="B54" s="9" t="s">
        <v>33</v>
      </c>
      <c r="C54" s="9" t="s">
        <v>39</v>
      </c>
      <c r="D54" s="9"/>
      <c r="E54" s="9"/>
      <c r="F54" s="9"/>
      <c r="G54" s="9"/>
    </row>
    <row r="55" customFormat="false" ht="15" hidden="false" customHeight="true" outlineLevel="0" collapsed="false">
      <c r="A55" s="9" t="s">
        <v>438</v>
      </c>
      <c r="B55" s="9" t="s">
        <v>39</v>
      </c>
      <c r="C55" s="9" t="s">
        <v>33</v>
      </c>
      <c r="D55" s="9"/>
      <c r="E55" s="9"/>
      <c r="F55" s="9"/>
      <c r="G55" s="9"/>
    </row>
    <row r="56" customFormat="false" ht="15" hidden="false" customHeight="true" outlineLevel="0" collapsed="false">
      <c r="A56" s="9" t="s">
        <v>488</v>
      </c>
      <c r="B56" s="9" t="s">
        <v>33</v>
      </c>
      <c r="C56" s="9" t="s">
        <v>33</v>
      </c>
      <c r="D56" s="9"/>
      <c r="E56" s="9"/>
      <c r="F56" s="9"/>
      <c r="G56" s="9"/>
    </row>
    <row r="57" customFormat="false" ht="15" hidden="false" customHeight="true" outlineLevel="0" collapsed="false">
      <c r="A57" s="9" t="s">
        <v>489</v>
      </c>
      <c r="B57" s="9" t="s">
        <v>33</v>
      </c>
      <c r="C57" s="9" t="s">
        <v>33</v>
      </c>
      <c r="D57" s="9"/>
      <c r="E57" s="9"/>
      <c r="F57" s="9"/>
      <c r="G57" s="9"/>
    </row>
    <row r="58" customFormat="false" ht="15" hidden="false" customHeight="true" outlineLevel="0" collapsed="false">
      <c r="A58" s="9" t="s">
        <v>490</v>
      </c>
      <c r="B58" s="9" t="s">
        <v>33</v>
      </c>
      <c r="C58" s="9" t="s">
        <v>33</v>
      </c>
      <c r="D58" s="9"/>
      <c r="E58" s="9"/>
      <c r="F58" s="9"/>
      <c r="G58" s="9"/>
    </row>
    <row r="59" customFormat="false" ht="15" hidden="false" customHeight="true" outlineLevel="0" collapsed="false">
      <c r="A59" s="9" t="s">
        <v>491</v>
      </c>
      <c r="B59" s="9" t="s">
        <v>33</v>
      </c>
      <c r="C59" s="9" t="s">
        <v>33</v>
      </c>
      <c r="D59" s="9"/>
      <c r="E59" s="9"/>
      <c r="F59" s="9"/>
      <c r="G59" s="9"/>
    </row>
    <row r="60" customFormat="false" ht="15" hidden="false" customHeight="true" outlineLevel="0" collapsed="false">
      <c r="A60" s="9" t="s">
        <v>439</v>
      </c>
      <c r="B60" s="9" t="s">
        <v>39</v>
      </c>
      <c r="C60" s="9" t="s">
        <v>33</v>
      </c>
      <c r="D60" s="9"/>
      <c r="E60" s="9"/>
      <c r="F60" s="9"/>
      <c r="G60" s="9"/>
    </row>
    <row r="61" customFormat="false" ht="15" hidden="false" customHeight="true" outlineLevel="0" collapsed="false">
      <c r="A61" s="9" t="s">
        <v>492</v>
      </c>
      <c r="B61" s="9" t="s">
        <v>33</v>
      </c>
      <c r="C61" s="9" t="s">
        <v>33</v>
      </c>
      <c r="D61" s="9"/>
      <c r="E61" s="9"/>
      <c r="F61" s="9"/>
      <c r="G61" s="9"/>
    </row>
    <row r="62" customFormat="false" ht="15" hidden="false" customHeight="true" outlineLevel="0" collapsed="false">
      <c r="A62" s="9" t="s">
        <v>493</v>
      </c>
      <c r="B62" s="9" t="s">
        <v>33</v>
      </c>
      <c r="C62" s="9" t="s">
        <v>33</v>
      </c>
      <c r="D62" s="9"/>
      <c r="E62" s="9"/>
      <c r="F62" s="9"/>
      <c r="G62" s="9"/>
    </row>
    <row r="63" customFormat="false" ht="15" hidden="false" customHeight="true" outlineLevel="0" collapsed="false">
      <c r="A63" s="9" t="s">
        <v>440</v>
      </c>
      <c r="B63" s="9" t="s">
        <v>39</v>
      </c>
      <c r="C63" s="9" t="s">
        <v>33</v>
      </c>
      <c r="D63" s="9"/>
      <c r="E63" s="9"/>
      <c r="F63" s="9"/>
      <c r="G63" s="9"/>
    </row>
    <row r="64" customFormat="false" ht="15" hidden="false" customHeight="true" outlineLevel="0" collapsed="false">
      <c r="A64" s="9" t="s">
        <v>441</v>
      </c>
      <c r="B64" s="9" t="s">
        <v>39</v>
      </c>
      <c r="C64" s="9" t="s">
        <v>33</v>
      </c>
      <c r="D64" s="9"/>
      <c r="E64" s="9"/>
      <c r="F64" s="9"/>
      <c r="G64" s="9"/>
    </row>
    <row r="65" customFormat="false" ht="15" hidden="false" customHeight="true" outlineLevel="0" collapsed="false">
      <c r="A65" s="9" t="s">
        <v>494</v>
      </c>
      <c r="B65" s="9" t="s">
        <v>33</v>
      </c>
      <c r="C65" s="9" t="s">
        <v>33</v>
      </c>
      <c r="D65" s="9"/>
      <c r="E65" s="9"/>
      <c r="F65" s="9"/>
      <c r="G65" s="9"/>
    </row>
    <row r="66" customFormat="false" ht="15" hidden="false" customHeight="true" outlineLevel="0" collapsed="false">
      <c r="A66" s="9" t="s">
        <v>299</v>
      </c>
      <c r="B66" s="9" t="s">
        <v>33</v>
      </c>
      <c r="C66" s="9" t="s">
        <v>39</v>
      </c>
      <c r="D66" s="9"/>
      <c r="E66" s="9"/>
      <c r="F66" s="9"/>
      <c r="G66" s="9"/>
    </row>
    <row r="67" customFormat="false" ht="15" hidden="false" customHeight="true" outlineLevel="0" collapsed="false">
      <c r="A67" s="9" t="s">
        <v>495</v>
      </c>
      <c r="B67" s="9" t="s">
        <v>33</v>
      </c>
      <c r="C67" s="9" t="s">
        <v>33</v>
      </c>
      <c r="D67" s="9"/>
      <c r="E67" s="9"/>
      <c r="F67" s="9"/>
      <c r="G67" s="9"/>
    </row>
    <row r="68" customFormat="false" ht="15" hidden="false" customHeight="true" outlineLevel="0" collapsed="false">
      <c r="A68" s="9" t="s">
        <v>496</v>
      </c>
      <c r="B68" s="9" t="s">
        <v>33</v>
      </c>
      <c r="C68" s="9" t="s">
        <v>33</v>
      </c>
      <c r="D68" s="9"/>
      <c r="E68" s="9"/>
      <c r="F68" s="9"/>
      <c r="G68" s="9"/>
    </row>
    <row r="69" customFormat="false" ht="15" hidden="false" customHeight="true" outlineLevel="0" collapsed="false">
      <c r="A69" s="9" t="s">
        <v>497</v>
      </c>
      <c r="B69" s="9" t="s">
        <v>33</v>
      </c>
      <c r="C69" s="9" t="s">
        <v>33</v>
      </c>
      <c r="D69" s="9"/>
      <c r="E69" s="9"/>
      <c r="F69" s="9"/>
      <c r="G69" s="9"/>
    </row>
    <row r="70" customFormat="false" ht="15" hidden="false" customHeight="true" outlineLevel="0" collapsed="false">
      <c r="A70" s="9" t="s">
        <v>498</v>
      </c>
      <c r="B70" s="9" t="s">
        <v>33</v>
      </c>
      <c r="C70" s="9" t="s">
        <v>33</v>
      </c>
      <c r="D70" s="9"/>
      <c r="E70" s="9"/>
      <c r="F70" s="9"/>
      <c r="G70" s="9"/>
    </row>
    <row r="71" customFormat="false" ht="15" hidden="false" customHeight="true" outlineLevel="0" collapsed="false">
      <c r="A71" s="9" t="s">
        <v>499</v>
      </c>
      <c r="B71" s="9" t="s">
        <v>33</v>
      </c>
      <c r="C71" s="9" t="s">
        <v>33</v>
      </c>
      <c r="D71" s="9"/>
      <c r="E71" s="9"/>
      <c r="F71" s="9"/>
      <c r="G71" s="9"/>
    </row>
    <row r="72" customFormat="false" ht="15" hidden="false" customHeight="true" outlineLevel="0" collapsed="false">
      <c r="A72" s="9" t="s">
        <v>300</v>
      </c>
      <c r="B72" s="9" t="s">
        <v>33</v>
      </c>
      <c r="C72" s="9" t="s">
        <v>39</v>
      </c>
      <c r="D72" s="9"/>
      <c r="E72" s="9"/>
      <c r="F72" s="9"/>
      <c r="G72" s="9"/>
    </row>
    <row r="73" customFormat="false" ht="15" hidden="false" customHeight="true" outlineLevel="0" collapsed="false">
      <c r="A73" s="9" t="s">
        <v>442</v>
      </c>
      <c r="B73" s="9" t="s">
        <v>39</v>
      </c>
      <c r="C73" s="9" t="s">
        <v>33</v>
      </c>
      <c r="D73" s="9"/>
      <c r="E73" s="9"/>
      <c r="F73" s="9"/>
      <c r="G73" s="9"/>
    </row>
    <row r="74" customFormat="false" ht="15" hidden="false" customHeight="true" outlineLevel="0" collapsed="false">
      <c r="A74" s="9" t="s">
        <v>500</v>
      </c>
      <c r="B74" s="9" t="s">
        <v>33</v>
      </c>
      <c r="C74" s="9" t="s">
        <v>33</v>
      </c>
      <c r="D74" s="9"/>
      <c r="E74" s="9"/>
      <c r="F74" s="9"/>
      <c r="G74" s="9"/>
    </row>
    <row r="75" customFormat="false" ht="15" hidden="false" customHeight="true" outlineLevel="0" collapsed="false">
      <c r="A75" s="9" t="s">
        <v>501</v>
      </c>
      <c r="B75" s="9" t="s">
        <v>33</v>
      </c>
      <c r="C75" s="9" t="s">
        <v>33</v>
      </c>
      <c r="D75" s="9"/>
      <c r="E75" s="9"/>
      <c r="F75" s="9"/>
      <c r="G75" s="9"/>
    </row>
    <row r="76" customFormat="false" ht="15" hidden="false" customHeight="true" outlineLevel="0" collapsed="false">
      <c r="A76" s="9" t="s">
        <v>443</v>
      </c>
      <c r="B76" s="9" t="s">
        <v>39</v>
      </c>
      <c r="C76" s="9" t="s">
        <v>33</v>
      </c>
      <c r="D76" s="9"/>
      <c r="E76" s="9"/>
      <c r="F76" s="9"/>
      <c r="G76" s="9"/>
    </row>
    <row r="77" customFormat="false" ht="15" hidden="false" customHeight="true" outlineLevel="0" collapsed="false">
      <c r="A77" s="9" t="s">
        <v>502</v>
      </c>
      <c r="B77" s="9" t="s">
        <v>33</v>
      </c>
      <c r="C77" s="9" t="s">
        <v>33</v>
      </c>
      <c r="D77" s="9"/>
      <c r="E77" s="9"/>
      <c r="F77" s="9"/>
      <c r="G77" s="9"/>
    </row>
    <row r="78" customFormat="false" ht="15" hidden="false" customHeight="true" outlineLevel="0" collapsed="false">
      <c r="A78" s="9" t="s">
        <v>444</v>
      </c>
      <c r="B78" s="9" t="s">
        <v>39</v>
      </c>
      <c r="C78" s="9" t="s">
        <v>33</v>
      </c>
      <c r="D78" s="9"/>
      <c r="E78" s="9"/>
      <c r="F78" s="9"/>
      <c r="G78" s="9"/>
    </row>
    <row r="79" customFormat="false" ht="15" hidden="false" customHeight="true" outlineLevel="0" collapsed="false">
      <c r="A79" s="9" t="s">
        <v>503</v>
      </c>
      <c r="B79" s="9" t="s">
        <v>33</v>
      </c>
      <c r="C79" s="9" t="s">
        <v>33</v>
      </c>
      <c r="D79" s="9"/>
      <c r="E79" s="9"/>
      <c r="F79" s="9"/>
      <c r="G79" s="9"/>
    </row>
    <row r="80" customFormat="false" ht="15" hidden="false" customHeight="true" outlineLevel="0" collapsed="false">
      <c r="A80" s="9" t="s">
        <v>301</v>
      </c>
      <c r="B80" s="9" t="s">
        <v>33</v>
      </c>
      <c r="C80" s="9" t="s">
        <v>39</v>
      </c>
      <c r="D80" s="9"/>
      <c r="E80" s="9"/>
      <c r="F80" s="9"/>
      <c r="G80" s="9"/>
    </row>
    <row r="81" customFormat="false" ht="15" hidden="false" customHeight="true" outlineLevel="0" collapsed="false">
      <c r="A81" s="9" t="s">
        <v>302</v>
      </c>
      <c r="B81" s="9" t="s">
        <v>33</v>
      </c>
      <c r="C81" s="9" t="s">
        <v>39</v>
      </c>
      <c r="D81" s="9"/>
      <c r="E81" s="9"/>
      <c r="F81" s="9"/>
      <c r="G81" s="9"/>
    </row>
    <row r="82" customFormat="false" ht="15" hidden="false" customHeight="true" outlineLevel="0" collapsed="false">
      <c r="A82" s="9" t="s">
        <v>504</v>
      </c>
      <c r="B82" s="9" t="s">
        <v>33</v>
      </c>
      <c r="C82" s="9" t="s">
        <v>33</v>
      </c>
      <c r="D82" s="9"/>
      <c r="E82" s="9"/>
      <c r="F82" s="9"/>
      <c r="G82" s="9"/>
    </row>
    <row r="83" customFormat="false" ht="15" hidden="false" customHeight="true" outlineLevel="0" collapsed="false">
      <c r="A83" s="9" t="s">
        <v>505</v>
      </c>
      <c r="B83" s="9" t="s">
        <v>33</v>
      </c>
      <c r="C83" s="9" t="s">
        <v>33</v>
      </c>
      <c r="D83" s="9"/>
      <c r="E83" s="9"/>
      <c r="F83" s="9"/>
      <c r="G83" s="9"/>
    </row>
    <row r="84" customFormat="false" ht="15" hidden="false" customHeight="true" outlineLevel="0" collapsed="false">
      <c r="A84" s="9" t="s">
        <v>445</v>
      </c>
      <c r="B84" s="9" t="s">
        <v>39</v>
      </c>
      <c r="C84" s="9" t="s">
        <v>33</v>
      </c>
      <c r="D84" s="9"/>
      <c r="E84" s="9"/>
      <c r="F84" s="9"/>
      <c r="G84" s="9"/>
    </row>
    <row r="85" customFormat="false" ht="15" hidden="false" customHeight="true" outlineLevel="0" collapsed="false">
      <c r="A85" s="9" t="s">
        <v>506</v>
      </c>
      <c r="B85" s="9" t="s">
        <v>33</v>
      </c>
      <c r="C85" s="9" t="s">
        <v>33</v>
      </c>
      <c r="D85" s="9"/>
      <c r="E85" s="9"/>
      <c r="F85" s="9"/>
      <c r="G85" s="9"/>
    </row>
    <row r="86" customFormat="false" ht="15" hidden="false" customHeight="true" outlineLevel="0" collapsed="false">
      <c r="A86" s="9" t="s">
        <v>507</v>
      </c>
      <c r="B86" s="9" t="s">
        <v>33</v>
      </c>
      <c r="C86" s="9" t="s">
        <v>33</v>
      </c>
      <c r="D86" s="9"/>
      <c r="E86" s="9"/>
      <c r="F86" s="9"/>
      <c r="G86" s="9"/>
    </row>
    <row r="87" customFormat="false" ht="15" hidden="false" customHeight="true" outlineLevel="0" collapsed="false">
      <c r="A87" s="9" t="s">
        <v>508</v>
      </c>
      <c r="B87" s="9" t="s">
        <v>33</v>
      </c>
      <c r="C87" s="9" t="s">
        <v>33</v>
      </c>
      <c r="D87" s="9"/>
      <c r="E87" s="9"/>
      <c r="F87" s="9"/>
      <c r="G87" s="9"/>
    </row>
    <row r="88" customFormat="false" ht="15" hidden="false" customHeight="true" outlineLevel="0" collapsed="false">
      <c r="A88" s="9" t="s">
        <v>509</v>
      </c>
      <c r="B88" s="9" t="s">
        <v>33</v>
      </c>
      <c r="C88" s="9" t="s">
        <v>33</v>
      </c>
      <c r="D88" s="9"/>
      <c r="E88" s="9"/>
      <c r="F88" s="9"/>
      <c r="G88" s="9"/>
    </row>
    <row r="89" customFormat="false" ht="15" hidden="false" customHeight="true" outlineLevel="0" collapsed="false">
      <c r="A89" s="9" t="s">
        <v>510</v>
      </c>
      <c r="B89" s="9" t="s">
        <v>33</v>
      </c>
      <c r="C89" s="9" t="s">
        <v>33</v>
      </c>
      <c r="D89" s="9"/>
      <c r="E89" s="9"/>
      <c r="F89" s="9"/>
      <c r="G89" s="9"/>
    </row>
    <row r="90" customFormat="false" ht="15" hidden="false" customHeight="true" outlineLevel="0" collapsed="false">
      <c r="A90" s="9" t="s">
        <v>511</v>
      </c>
      <c r="B90" s="9" t="s">
        <v>33</v>
      </c>
      <c r="C90" s="9" t="s">
        <v>33</v>
      </c>
      <c r="D90" s="9"/>
      <c r="E90" s="9"/>
      <c r="F90" s="9"/>
      <c r="G90" s="9"/>
    </row>
    <row r="91" customFormat="false" ht="15" hidden="false" customHeight="true" outlineLevel="0" collapsed="false">
      <c r="A91" s="9" t="s">
        <v>512</v>
      </c>
      <c r="B91" s="9" t="s">
        <v>33</v>
      </c>
      <c r="C91" s="9" t="s">
        <v>33</v>
      </c>
      <c r="D91" s="9"/>
      <c r="E91" s="9"/>
      <c r="F91" s="9"/>
      <c r="G91" s="9"/>
    </row>
    <row r="92" customFormat="false" ht="15" hidden="false" customHeight="true" outlineLevel="0" collapsed="false">
      <c r="A92" s="9" t="s">
        <v>446</v>
      </c>
      <c r="B92" s="9" t="s">
        <v>39</v>
      </c>
      <c r="C92" s="9" t="s">
        <v>33</v>
      </c>
      <c r="D92" s="9"/>
      <c r="E92" s="9"/>
      <c r="F92" s="9"/>
      <c r="G92" s="9"/>
    </row>
    <row r="93" customFormat="false" ht="15" hidden="false" customHeight="true" outlineLevel="0" collapsed="false">
      <c r="A93" s="9" t="s">
        <v>513</v>
      </c>
      <c r="B93" s="9" t="s">
        <v>33</v>
      </c>
      <c r="C93" s="9" t="s">
        <v>33</v>
      </c>
      <c r="D93" s="9"/>
      <c r="E93" s="9"/>
      <c r="F93" s="9"/>
      <c r="G93" s="9"/>
    </row>
    <row r="94" customFormat="false" ht="15" hidden="false" customHeight="true" outlineLevel="0" collapsed="false">
      <c r="A94" s="9" t="s">
        <v>514</v>
      </c>
      <c r="B94" s="9" t="s">
        <v>33</v>
      </c>
      <c r="C94" s="9" t="s">
        <v>33</v>
      </c>
      <c r="D94" s="9"/>
      <c r="E94" s="9"/>
      <c r="F94" s="9"/>
      <c r="G94" s="9"/>
    </row>
    <row r="95" customFormat="false" ht="15" hidden="false" customHeight="true" outlineLevel="0" collapsed="false">
      <c r="A95" s="9" t="s">
        <v>515</v>
      </c>
      <c r="B95" s="9" t="s">
        <v>33</v>
      </c>
      <c r="C95" s="9" t="s">
        <v>33</v>
      </c>
      <c r="D95" s="9"/>
      <c r="E95" s="9"/>
      <c r="F95" s="9"/>
      <c r="G95" s="9"/>
    </row>
    <row r="96" customFormat="false" ht="15" hidden="false" customHeight="true" outlineLevel="0" collapsed="false">
      <c r="A96" s="9" t="s">
        <v>516</v>
      </c>
      <c r="B96" s="9" t="s">
        <v>33</v>
      </c>
      <c r="C96" s="9" t="s">
        <v>33</v>
      </c>
      <c r="D96" s="9"/>
      <c r="E96" s="9"/>
      <c r="F96" s="9"/>
      <c r="G96" s="9"/>
    </row>
    <row r="97" customFormat="false" ht="15" hidden="false" customHeight="true" outlineLevel="0" collapsed="false">
      <c r="A97" s="9" t="s">
        <v>447</v>
      </c>
      <c r="B97" s="9" t="s">
        <v>39</v>
      </c>
      <c r="C97" s="9" t="s">
        <v>33</v>
      </c>
      <c r="D97" s="9"/>
      <c r="E97" s="9"/>
      <c r="F97" s="9"/>
      <c r="G97" s="9"/>
    </row>
    <row r="98" customFormat="false" ht="15" hidden="false" customHeight="true" outlineLevel="0" collapsed="false">
      <c r="A98" s="9" t="s">
        <v>303</v>
      </c>
      <c r="B98" s="9" t="s">
        <v>33</v>
      </c>
      <c r="C98" s="9" t="s">
        <v>39</v>
      </c>
      <c r="D98" s="9"/>
      <c r="E98" s="9"/>
      <c r="F98" s="9"/>
      <c r="G98" s="9"/>
    </row>
    <row r="99" customFormat="false" ht="15" hidden="false" customHeight="true" outlineLevel="0" collapsed="false">
      <c r="A99" s="9" t="s">
        <v>517</v>
      </c>
      <c r="B99" s="9" t="s">
        <v>33</v>
      </c>
      <c r="C99" s="9" t="s">
        <v>33</v>
      </c>
      <c r="D99" s="9"/>
      <c r="E99" s="9"/>
      <c r="F99" s="9"/>
      <c r="G99" s="9"/>
    </row>
    <row r="100" customFormat="false" ht="15" hidden="false" customHeight="true" outlineLevel="0" collapsed="false">
      <c r="A100" s="9" t="s">
        <v>448</v>
      </c>
      <c r="B100" s="9" t="s">
        <v>39</v>
      </c>
      <c r="C100" s="9" t="s">
        <v>33</v>
      </c>
      <c r="D100" s="9"/>
      <c r="E100" s="9"/>
      <c r="F100" s="9"/>
      <c r="G100" s="9"/>
    </row>
    <row r="101" customFormat="false" ht="15" hidden="false" customHeight="true" outlineLevel="0" collapsed="false">
      <c r="A101" s="9" t="s">
        <v>518</v>
      </c>
      <c r="B101" s="9" t="s">
        <v>33</v>
      </c>
      <c r="C101" s="9" t="s">
        <v>33</v>
      </c>
      <c r="D101" s="9"/>
      <c r="E101" s="9"/>
      <c r="F101" s="9"/>
      <c r="G101" s="9"/>
    </row>
    <row r="102" customFormat="false" ht="15" hidden="false" customHeight="true" outlineLevel="0" collapsed="false">
      <c r="A102" s="9" t="s">
        <v>519</v>
      </c>
      <c r="B102" s="9" t="s">
        <v>33</v>
      </c>
      <c r="C102" s="9" t="s">
        <v>33</v>
      </c>
      <c r="D102" s="9"/>
      <c r="E102" s="9"/>
      <c r="F102" s="9"/>
      <c r="G102" s="9"/>
    </row>
    <row r="103" customFormat="false" ht="15" hidden="false" customHeight="true" outlineLevel="0" collapsed="false">
      <c r="A103" s="9" t="s">
        <v>520</v>
      </c>
      <c r="B103" s="9" t="s">
        <v>33</v>
      </c>
      <c r="C103" s="9" t="s">
        <v>33</v>
      </c>
      <c r="D103" s="9"/>
      <c r="E103" s="9"/>
      <c r="F103" s="9"/>
      <c r="G103" s="9"/>
    </row>
    <row r="104" customFormat="false" ht="15" hidden="false" customHeight="true" outlineLevel="0" collapsed="false">
      <c r="A104" s="9" t="s">
        <v>521</v>
      </c>
      <c r="B104" s="9" t="s">
        <v>33</v>
      </c>
      <c r="C104" s="9" t="s">
        <v>33</v>
      </c>
      <c r="D104" s="9"/>
      <c r="E104" s="9"/>
      <c r="F104" s="9"/>
      <c r="G104" s="9"/>
    </row>
    <row r="105" customFormat="false" ht="15" hidden="false" customHeight="true" outlineLevel="0" collapsed="false">
      <c r="A105" s="9" t="s">
        <v>304</v>
      </c>
      <c r="B105" s="9" t="s">
        <v>33</v>
      </c>
      <c r="C105" s="9" t="s">
        <v>39</v>
      </c>
      <c r="D105" s="9"/>
      <c r="E105" s="9"/>
      <c r="F105" s="9"/>
      <c r="G105" s="9"/>
    </row>
    <row r="106" customFormat="false" ht="15" hidden="false" customHeight="true" outlineLevel="0" collapsed="false">
      <c r="A106" s="9" t="s">
        <v>522</v>
      </c>
      <c r="B106" s="9" t="s">
        <v>33</v>
      </c>
      <c r="C106" s="9" t="s">
        <v>33</v>
      </c>
      <c r="D106" s="9"/>
      <c r="E106" s="9"/>
      <c r="F106" s="9"/>
      <c r="G106" s="9"/>
    </row>
    <row r="107" customFormat="false" ht="15" hidden="false" customHeight="true" outlineLevel="0" collapsed="false">
      <c r="A107" s="9" t="s">
        <v>523</v>
      </c>
      <c r="B107" s="9" t="s">
        <v>33</v>
      </c>
      <c r="C107" s="9" t="s">
        <v>33</v>
      </c>
      <c r="D107" s="9"/>
      <c r="E107" s="9"/>
      <c r="F107" s="9"/>
      <c r="G107" s="9"/>
    </row>
    <row r="108" customFormat="false" ht="15" hidden="false" customHeight="true" outlineLevel="0" collapsed="false">
      <c r="A108" s="9" t="s">
        <v>524</v>
      </c>
      <c r="B108" s="9" t="s">
        <v>33</v>
      </c>
      <c r="C108" s="9" t="s">
        <v>33</v>
      </c>
      <c r="D108" s="9"/>
      <c r="E108" s="9"/>
      <c r="F108" s="9"/>
      <c r="G108" s="9"/>
    </row>
    <row r="109" customFormat="false" ht="15" hidden="false" customHeight="true" outlineLevel="0" collapsed="false">
      <c r="A109" s="9" t="s">
        <v>525</v>
      </c>
      <c r="B109" s="9" t="s">
        <v>33</v>
      </c>
      <c r="C109" s="9" t="s">
        <v>33</v>
      </c>
      <c r="D109" s="9"/>
      <c r="E109" s="9"/>
      <c r="F109" s="9"/>
      <c r="G109" s="9"/>
    </row>
    <row r="110" customFormat="false" ht="15" hidden="false" customHeight="true" outlineLevel="0" collapsed="false">
      <c r="A110" s="13" t="s">
        <v>526</v>
      </c>
      <c r="B110" s="1" t="n">
        <f aca="false">COUNTA(A2:A109)</f>
        <v>108</v>
      </c>
    </row>
    <row r="111" customFormat="false" ht="15" hidden="false" customHeight="true" outlineLevel="0" collapsed="false">
      <c r="A111" s="13" t="s">
        <v>527</v>
      </c>
      <c r="B111" s="1" t="n">
        <v>102</v>
      </c>
    </row>
    <row r="112" customFormat="false" ht="15" hidden="false" customHeight="true" outlineLevel="0" collapsed="false">
      <c r="A112" s="13" t="s">
        <v>528</v>
      </c>
      <c r="B112" s="1" t="n">
        <v>6</v>
      </c>
    </row>
    <row r="113" customFormat="false" ht="15" hidden="false" customHeight="true" outlineLevel="0" collapsed="false">
      <c r="A113" s="13" t="s">
        <v>529</v>
      </c>
      <c r="B113" s="1" t="n">
        <f aca="false">B111+B112</f>
        <v>108</v>
      </c>
    </row>
    <row r="114" customFormat="false" ht="15" hidden="false" customHeight="true" outlineLevel="0" collapsed="false">
      <c r="A114" s="13" t="s">
        <v>530</v>
      </c>
      <c r="B114" s="1" t="n">
        <f aca="false">B113-B110</f>
        <v>0</v>
      </c>
      <c r="C114" s="4" t="s">
        <v>531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6"/>
    <col collapsed="false" customWidth="true" hidden="false" outlineLevel="0" max="3" min="3" style="1" width="40"/>
    <col collapsed="false" customWidth="true" hidden="false" outlineLevel="0" max="4" min="4" style="1" width="16"/>
    <col collapsed="false" customWidth="true" hidden="false" outlineLevel="0" max="5" min="5" style="1" width="30"/>
  </cols>
  <sheetData>
    <row r="1" customFormat="false" ht="15" hidden="false" customHeight="true" outlineLevel="0" collapsed="false">
      <c r="A1" s="14" t="s">
        <v>532</v>
      </c>
    </row>
    <row r="3" customFormat="false" ht="23.25" hidden="false" customHeight="true" outlineLevel="0" collapsed="false">
      <c r="A3" s="8" t="s">
        <v>533</v>
      </c>
      <c r="B3" s="8" t="s">
        <v>534</v>
      </c>
      <c r="C3" s="8" t="s">
        <v>535</v>
      </c>
      <c r="D3" s="8" t="s">
        <v>536</v>
      </c>
      <c r="E3" s="8" t="s">
        <v>537</v>
      </c>
    </row>
    <row r="4" customFormat="false" ht="15" hidden="false" customHeight="true" outlineLevel="0" collapsed="false">
      <c r="A4" s="9" t="n">
        <v>1</v>
      </c>
      <c r="B4" s="9"/>
      <c r="C4" s="9"/>
      <c r="D4" s="9"/>
      <c r="E4" s="9"/>
    </row>
    <row r="5" customFormat="false" ht="15" hidden="false" customHeight="true" outlineLevel="0" collapsed="false">
      <c r="A5" s="9" t="n">
        <v>2</v>
      </c>
      <c r="B5" s="9"/>
      <c r="C5" s="9"/>
      <c r="D5" s="9"/>
      <c r="E5" s="9"/>
    </row>
    <row r="6" customFormat="false" ht="15" hidden="false" customHeight="true" outlineLevel="0" collapsed="false">
      <c r="A6" s="9" t="n">
        <v>3</v>
      </c>
      <c r="B6" s="9"/>
      <c r="C6" s="9"/>
      <c r="D6" s="9"/>
      <c r="E6" s="9"/>
    </row>
    <row r="7" customFormat="false" ht="15" hidden="false" customHeight="true" outlineLevel="0" collapsed="false">
      <c r="A7" s="9" t="n">
        <v>4</v>
      </c>
      <c r="B7" s="9"/>
      <c r="C7" s="9"/>
      <c r="D7" s="9"/>
      <c r="E7" s="9"/>
    </row>
    <row r="8" customFormat="false" ht="15" hidden="false" customHeight="true" outlineLevel="0" collapsed="false">
      <c r="A8" s="9" t="n">
        <v>5</v>
      </c>
      <c r="B8" s="9"/>
      <c r="C8" s="9"/>
      <c r="D8" s="9"/>
      <c r="E8" s="9"/>
    </row>
    <row r="9" customFormat="false" ht="15" hidden="false" customHeight="true" outlineLevel="0" collapsed="false">
      <c r="A9" s="9" t="n">
        <v>6</v>
      </c>
      <c r="B9" s="9"/>
      <c r="C9" s="9"/>
      <c r="D9" s="9"/>
      <c r="E9" s="9"/>
    </row>
    <row r="10" customFormat="false" ht="15" hidden="false" customHeight="true" outlineLevel="0" collapsed="false">
      <c r="A10" s="9" t="n">
        <v>7</v>
      </c>
      <c r="B10" s="9"/>
      <c r="C10" s="9"/>
      <c r="D10" s="9"/>
      <c r="E10" s="9"/>
    </row>
    <row r="11" customFormat="false" ht="15" hidden="false" customHeight="true" outlineLevel="0" collapsed="false">
      <c r="A11" s="9" t="n">
        <v>8</v>
      </c>
      <c r="B11" s="9"/>
      <c r="C11" s="9"/>
      <c r="D11" s="9"/>
      <c r="E11" s="9"/>
    </row>
    <row r="12" customFormat="false" ht="15" hidden="false" customHeight="true" outlineLevel="0" collapsed="false">
      <c r="A12" s="9" t="n">
        <v>9</v>
      </c>
      <c r="B12" s="9"/>
      <c r="C12" s="9"/>
      <c r="D12" s="9"/>
      <c r="E12" s="9"/>
    </row>
    <row r="13" customFormat="false" ht="15" hidden="false" customHeight="true" outlineLevel="0" collapsed="false">
      <c r="A13" s="9" t="n">
        <v>10</v>
      </c>
      <c r="B13" s="9"/>
      <c r="C13" s="9"/>
      <c r="D13" s="9"/>
      <c r="E13" s="9"/>
    </row>
    <row r="14" customFormat="false" ht="15" hidden="false" customHeight="true" outlineLevel="0" collapsed="false">
      <c r="A14" s="9" t="n">
        <v>11</v>
      </c>
      <c r="B14" s="9"/>
      <c r="C14" s="9"/>
      <c r="D14" s="9"/>
      <c r="E14" s="9"/>
    </row>
    <row r="15" customFormat="false" ht="15" hidden="false" customHeight="true" outlineLevel="0" collapsed="false">
      <c r="A15" s="9" t="n">
        <v>12</v>
      </c>
      <c r="B15" s="9"/>
      <c r="C15" s="9"/>
      <c r="D15" s="9"/>
      <c r="E15" s="9"/>
    </row>
    <row r="16" customFormat="false" ht="15" hidden="false" customHeight="true" outlineLevel="0" collapsed="false">
      <c r="A16" s="9" t="n">
        <v>13</v>
      </c>
      <c r="B16" s="9"/>
      <c r="C16" s="9"/>
      <c r="D16" s="9"/>
      <c r="E16" s="9"/>
    </row>
    <row r="17" customFormat="false" ht="15" hidden="false" customHeight="true" outlineLevel="0" collapsed="false">
      <c r="A17" s="9" t="n">
        <v>14</v>
      </c>
      <c r="B17" s="9"/>
      <c r="C17" s="9"/>
      <c r="D17" s="9"/>
      <c r="E17" s="9"/>
    </row>
    <row r="18" customFormat="false" ht="15" hidden="false" customHeight="true" outlineLevel="0" collapsed="false">
      <c r="A18" s="9" t="n">
        <v>15</v>
      </c>
      <c r="B18" s="9"/>
      <c r="C18" s="9"/>
      <c r="D18" s="9"/>
      <c r="E18" s="9"/>
    </row>
    <row r="19" customFormat="false" ht="15" hidden="false" customHeight="true" outlineLevel="0" collapsed="false">
      <c r="A19" s="9" t="n">
        <v>16</v>
      </c>
      <c r="B19" s="9"/>
      <c r="C19" s="9"/>
      <c r="D19" s="9"/>
      <c r="E19" s="9"/>
    </row>
    <row r="20" customFormat="false" ht="15" hidden="false" customHeight="true" outlineLevel="0" collapsed="false">
      <c r="A20" s="9" t="n">
        <v>17</v>
      </c>
      <c r="B20" s="9"/>
      <c r="C20" s="9"/>
      <c r="D20" s="9"/>
      <c r="E20" s="9"/>
    </row>
    <row r="21" customFormat="false" ht="15" hidden="false" customHeight="true" outlineLevel="0" collapsed="false">
      <c r="A21" s="9" t="n">
        <v>18</v>
      </c>
      <c r="B21" s="9"/>
      <c r="C21" s="9"/>
      <c r="D21" s="9"/>
      <c r="E21" s="9"/>
    </row>
    <row r="22" customFormat="false" ht="15" hidden="false" customHeight="true" outlineLevel="0" collapsed="false">
      <c r="A22" s="9" t="n">
        <v>19</v>
      </c>
      <c r="B22" s="9"/>
      <c r="C22" s="9"/>
      <c r="D22" s="9"/>
      <c r="E22" s="9"/>
    </row>
    <row r="23" customFormat="false" ht="15" hidden="false" customHeight="true" outlineLevel="0" collapsed="false">
      <c r="A23" s="9" t="n">
        <v>20</v>
      </c>
      <c r="B23" s="9"/>
      <c r="C23" s="9"/>
      <c r="D23" s="9"/>
      <c r="E23" s="9"/>
    </row>
    <row r="24" customFormat="false" ht="15" hidden="false" customHeight="true" outlineLevel="0" collapsed="false">
      <c r="A24" s="9" t="n">
        <v>21</v>
      </c>
      <c r="B24" s="9"/>
      <c r="C24" s="9"/>
      <c r="D24" s="9"/>
      <c r="E24" s="9"/>
    </row>
    <row r="25" customFormat="false" ht="15" hidden="false" customHeight="true" outlineLevel="0" collapsed="false">
      <c r="A25" s="9" t="n">
        <v>22</v>
      </c>
      <c r="B25" s="9"/>
      <c r="C25" s="9"/>
      <c r="D25" s="9"/>
      <c r="E25" s="9"/>
    </row>
    <row r="26" customFormat="false" ht="15" hidden="false" customHeight="true" outlineLevel="0" collapsed="false">
      <c r="A26" s="9" t="n">
        <v>23</v>
      </c>
      <c r="B26" s="9"/>
      <c r="C26" s="9"/>
      <c r="D26" s="9"/>
      <c r="E26" s="9"/>
    </row>
    <row r="27" customFormat="false" ht="15" hidden="false" customHeight="true" outlineLevel="0" collapsed="false">
      <c r="A27" s="9" t="n">
        <v>24</v>
      </c>
      <c r="B27" s="9"/>
      <c r="C27" s="9"/>
      <c r="D27" s="9"/>
      <c r="E27" s="9"/>
    </row>
    <row r="28" customFormat="false" ht="15" hidden="false" customHeight="true" outlineLevel="0" collapsed="false">
      <c r="A28" s="9" t="n">
        <v>25</v>
      </c>
      <c r="B28" s="9"/>
      <c r="C28" s="9"/>
      <c r="D28" s="9"/>
      <c r="E28" s="9"/>
    </row>
    <row r="29" customFormat="false" ht="15" hidden="false" customHeight="true" outlineLevel="0" collapsed="false">
      <c r="A29" s="9" t="n">
        <v>26</v>
      </c>
      <c r="B29" s="9"/>
      <c r="C29" s="9"/>
      <c r="D29" s="9"/>
      <c r="E29" s="9"/>
    </row>
    <row r="30" customFormat="false" ht="15" hidden="false" customHeight="true" outlineLevel="0" collapsed="false">
      <c r="A30" s="9" t="n">
        <v>27</v>
      </c>
      <c r="B30" s="9"/>
      <c r="C30" s="9"/>
      <c r="D30" s="9"/>
      <c r="E30" s="9"/>
    </row>
    <row r="31" customFormat="false" ht="15" hidden="false" customHeight="true" outlineLevel="0" collapsed="false">
      <c r="A31" s="9" t="n">
        <v>28</v>
      </c>
      <c r="B31" s="9"/>
      <c r="C31" s="9"/>
      <c r="D31" s="9"/>
      <c r="E31" s="9"/>
    </row>
    <row r="32" customFormat="false" ht="15" hidden="false" customHeight="true" outlineLevel="0" collapsed="false">
      <c r="A32" s="9" t="n">
        <v>29</v>
      </c>
      <c r="B32" s="9"/>
      <c r="C32" s="9"/>
      <c r="D32" s="9"/>
      <c r="E32" s="9"/>
    </row>
    <row r="33" customFormat="false" ht="15" hidden="false" customHeight="true" outlineLevel="0" collapsed="false">
      <c r="A33" s="9" t="n">
        <v>30</v>
      </c>
      <c r="B33" s="9"/>
      <c r="C33" s="9"/>
      <c r="D33" s="9"/>
      <c r="E33" s="9"/>
    </row>
    <row r="34" customFormat="false" ht="15" hidden="false" customHeight="true" outlineLevel="0" collapsed="false">
      <c r="A34" s="9" t="n">
        <v>31</v>
      </c>
      <c r="B34" s="9"/>
      <c r="C34" s="9"/>
      <c r="D34" s="9"/>
      <c r="E34" s="9"/>
    </row>
    <row r="35" customFormat="false" ht="15" hidden="false" customHeight="true" outlineLevel="0" collapsed="false">
      <c r="A35" s="9" t="n">
        <v>32</v>
      </c>
      <c r="B35" s="9"/>
      <c r="C35" s="9"/>
      <c r="D35" s="9"/>
      <c r="E35" s="9"/>
    </row>
    <row r="36" customFormat="false" ht="15" hidden="false" customHeight="true" outlineLevel="0" collapsed="false">
      <c r="A36" s="9" t="n">
        <v>33</v>
      </c>
      <c r="B36" s="9"/>
      <c r="C36" s="9"/>
      <c r="D36" s="9"/>
      <c r="E36" s="9"/>
    </row>
    <row r="37" customFormat="false" ht="15" hidden="false" customHeight="true" outlineLevel="0" collapsed="false">
      <c r="A37" s="9" t="n">
        <v>34</v>
      </c>
      <c r="B37" s="9"/>
      <c r="C37" s="9"/>
      <c r="D37" s="9"/>
      <c r="E37" s="9"/>
    </row>
    <row r="38" customFormat="false" ht="15" hidden="false" customHeight="true" outlineLevel="0" collapsed="false">
      <c r="A38" s="9" t="n">
        <v>35</v>
      </c>
      <c r="B38" s="9"/>
      <c r="C38" s="9"/>
      <c r="D38" s="9"/>
      <c r="E38" s="9"/>
    </row>
    <row r="39" customFormat="false" ht="15" hidden="false" customHeight="true" outlineLevel="0" collapsed="false">
      <c r="A39" s="9" t="n">
        <v>36</v>
      </c>
      <c r="B39" s="9"/>
      <c r="C39" s="9"/>
      <c r="D39" s="9"/>
      <c r="E39" s="9"/>
    </row>
    <row r="40" customFormat="false" ht="15" hidden="false" customHeight="true" outlineLevel="0" collapsed="false">
      <c r="A40" s="9" t="n">
        <v>37</v>
      </c>
      <c r="B40" s="9"/>
      <c r="C40" s="9"/>
      <c r="D40" s="9"/>
      <c r="E40" s="9"/>
    </row>
    <row r="41" customFormat="false" ht="15" hidden="false" customHeight="true" outlineLevel="0" collapsed="false">
      <c r="A41" s="9" t="n">
        <v>38</v>
      </c>
      <c r="B41" s="9"/>
      <c r="C41" s="9"/>
      <c r="D41" s="9"/>
      <c r="E41" s="9"/>
    </row>
    <row r="42" customFormat="false" ht="15" hidden="false" customHeight="true" outlineLevel="0" collapsed="false">
      <c r="A42" s="9" t="n">
        <v>39</v>
      </c>
      <c r="B42" s="9"/>
      <c r="C42" s="9"/>
      <c r="D42" s="9"/>
      <c r="E42" s="9"/>
    </row>
    <row r="43" customFormat="false" ht="15" hidden="false" customHeight="true" outlineLevel="0" collapsed="false">
      <c r="A43" s="9" t="n">
        <v>40</v>
      </c>
      <c r="B43" s="9"/>
      <c r="C43" s="9"/>
      <c r="D43" s="9"/>
      <c r="E43" s="9"/>
    </row>
    <row r="44" customFormat="false" ht="15" hidden="false" customHeight="true" outlineLevel="0" collapsed="false">
      <c r="A44" s="9" t="n">
        <v>41</v>
      </c>
      <c r="B44" s="9"/>
      <c r="C44" s="9"/>
      <c r="D44" s="9"/>
      <c r="E44" s="9"/>
    </row>
    <row r="45" customFormat="false" ht="15" hidden="false" customHeight="true" outlineLevel="0" collapsed="false">
      <c r="A45" s="9" t="n">
        <v>42</v>
      </c>
      <c r="B45" s="9"/>
      <c r="C45" s="9"/>
      <c r="D45" s="9"/>
      <c r="E45" s="9"/>
    </row>
    <row r="46" customFormat="false" ht="15" hidden="false" customHeight="true" outlineLevel="0" collapsed="false">
      <c r="A46" s="9" t="n">
        <v>43</v>
      </c>
      <c r="B46" s="9"/>
      <c r="C46" s="9"/>
      <c r="D46" s="9"/>
      <c r="E46" s="9"/>
    </row>
    <row r="47" customFormat="false" ht="15" hidden="false" customHeight="true" outlineLevel="0" collapsed="false">
      <c r="A47" s="9" t="n">
        <v>44</v>
      </c>
      <c r="B47" s="9"/>
      <c r="C47" s="9"/>
      <c r="D47" s="9"/>
      <c r="E47" s="9"/>
    </row>
    <row r="48" customFormat="false" ht="15" hidden="false" customHeight="true" outlineLevel="0" collapsed="false">
      <c r="A48" s="9" t="n">
        <v>45</v>
      </c>
      <c r="B48" s="9"/>
      <c r="C48" s="9"/>
      <c r="D48" s="9"/>
      <c r="E48" s="9"/>
    </row>
    <row r="50" customFormat="false" ht="15" hidden="false" customHeight="true" outlineLevel="0" collapsed="false">
      <c r="A50" s="3" t="s">
        <v>538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2026-06-10T13:08:14Z</dcterms:created>
  <dc:creator>openpyxl</dc:creator>
  <dc:description/>
  <dc:language>en-US</dc:language>
  <cp:lastModifiedBy/>
  <dcterms:modified xsi:type="dcterms:W3CDTF">2026-06-10T13:15:32Z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