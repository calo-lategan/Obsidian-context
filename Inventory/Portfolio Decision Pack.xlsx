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aseline Data" sheetId="2" state="visible" r:id="rId4"/>
    <sheet name="Decision Matrix" sheetId="3" state="visible" r:id="rId5"/>
    <sheet name="Economics T-OE-I" sheetId="4" state="visible" r:id="rId6"/>
    <sheet name="Risk FMEA" sheetId="5" state="visible" r:id="rId7"/>
    <sheet name="90-Day Plan" sheetId="6" state="visible" r:id="rId8"/>
    <sheet name="Scorecard Control Plan" sheetId="7" state="visible" r:id="rId9"/>
    <sheet name="Staircase Mode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<sst xmlns="http://schemas.openxmlformats.org/spreadsheetml/2006/main" count="382" uniqueCount="316">
  <si>
    <t xml:space="preserve">AL LAITH SITE SERVICES - PORTFOLIO DECISION PACK</t>
  </si>
  <si>
    <t xml:space="preserve">Companion to: COEEx Full System Diagnosis.docx (same folder). Linked: Stocktake Action Pack.xlsx (yard detail).</t>
  </si>
  <si>
    <t xml:space="preserve">Blue cells = editable inputs. Yellow = assumptions to confirm. Built 10 Jun 2026.</t>
  </si>
  <si>
    <t xml:space="preserve">Initiative</t>
  </si>
  <si>
    <t xml:space="preserve">Current status (observed 10 Jun 2026)</t>
  </si>
  <si>
    <t xml:space="preserve">Key evidence / source</t>
  </si>
  <si>
    <t xml:space="preserve">Readiness %</t>
  </si>
  <si>
    <t xml:space="preserve">1. Yard stocktake + register true-up</t>
  </si>
  <si>
    <t xml:space="preserve">Audit done: 697 units, 159 PDIs filed, 62 verify-first exceptions, 109 in-yard units missing PDI, OPO.L gap isolated to 34 rows, duplicate sticker 188 found</t>
  </si>
  <si>
    <t xml:space="preserve">Stocktake Action Pack.xlsx; UAE Inventory Audit.xlsx; PDI Drive folder</t>
  </si>
  <si>
    <t xml:space="preserve">2. Hire desk / Season Stock accuracy</t>
  </si>
  <si>
    <t xml:space="preserve">Hire desk distrusts yard numbers. Root cause proven: register flags stale on MOVEMENTS (21 provably wrong flags, 29 no-location units) - not on unit changes</t>
  </si>
  <si>
    <t xml:space="preserve">Audit cross-ref vs PDIs; chain: PDI app - Maintenance overview - Season Stock</t>
  </si>
  <si>
    <t xml:space="preserve">3. Workshop stock control</t>
  </si>
  <si>
    <t xml:space="preserve">PRD v1.1 ready for DX review (AppSheet, app f65652e0); SOPs v1.0 + Process v1.2 written; manual interim Options A/B designed; milestone tracker: phases A-F + 10-12wk app build</t>
  </si>
  <si>
    <t xml:space="preserve">workshop problem folder, 4 documents</t>
  </si>
  <si>
    <t xml:space="preserve">4. Metal modular staircase</t>
  </si>
  <si>
    <t xml:space="preserve">Brief + coating research done; Blender model + configuration animation done; needs: engineering drawings, parts list, RFQ to fabricators (1 vs 100 units), proposal</t>
  </si>
  <si>
    <t xml:space="preserve">Staircase idea folder: brief docx, showcase.mp4, staircase_full.blend</t>
  </si>
  <si>
    <t xml:space="preserve">5. Speaker rental entry</t>
  </si>
  <si>
    <t xml:space="preserve">Full competitive analysis complete (Apr 2026): MICE market $6.14B-$11B 2032; build cost 2,500-8,500 AED vs 25,000-33,000 AED retail equivalents; no-clone strategy defined</t>
  </si>
  <si>
    <t xml:space="preserve">Speaker idea folder: competitive analysis docx</t>
  </si>
  <si>
    <t xml:space="preserve">6. Linkable cabin modular redesign</t>
  </si>
  <si>
    <t xml:space="preserve">Concept only: replace crane-dependent ablutions with forklift-only modular linkables. No drawings, no costings yet</t>
  </si>
  <si>
    <t xml:space="preserve">Stated intent; fleet data in maintenance workbook</t>
  </si>
  <si>
    <t xml:space="preserve">7. Robotics showcase (with CTO)</t>
  </si>
  <si>
    <t xml:space="preserve">Hiwonder JetArm working, big progress; vision training remaining; ExCo+ManCo showcase scheduled [ASSUMPTION: ~mid-Jul]</t>
  </si>
  <si>
    <t xml:space="preserve">Side project with CTO sponsorship</t>
  </si>
  <si>
    <t xml:space="preserve">Criterion weights (edit blue):</t>
  </si>
  <si>
    <t xml:space="preserve">Job security</t>
  </si>
  <si>
    <t xml:space="preserve">Time-to-value</t>
  </si>
  <si>
    <t xml:space="preserve">Feasibility</t>
  </si>
  <si>
    <t xml:space="preserve">Business leverage</t>
  </si>
  <si>
    <t xml:space="preserve">Personal ROI</t>
  </si>
  <si>
    <t xml:space="preserve">Weight</t>
  </si>
  <si>
    <t xml:space="preserve">Job security (1-5)</t>
  </si>
  <si>
    <t xml:space="preserve">Time-to-value (1-5)</t>
  </si>
  <si>
    <t xml:space="preserve">Feasibility (1-5)</t>
  </si>
  <si>
    <t xml:space="preserve">Business leverage (1-5)</t>
  </si>
  <si>
    <t xml:space="preserve">Personal ROI (1-5)</t>
  </si>
  <si>
    <t xml:space="preserve">Weighted score</t>
  </si>
  <si>
    <t xml:space="preserve">Rank</t>
  </si>
  <si>
    <t xml:space="preserve">1. Stocktake close-out + Season Stock true-up (1-mo soft deadline, delegate to 3 techs)</t>
  </si>
  <si>
    <t xml:space="preserve">2. Workshop stock control - MAIN JOB, 3-month hard deadline</t>
  </si>
  <si>
    <t xml:space="preserve">3. Robotics showcase (CTO soft deadline ~1 month)</t>
  </si>
  <si>
    <t xml:space="preserve">4. Staircase - quick win, majorly done (design+quotes left)</t>
  </si>
  <si>
    <t xml:space="preserve">5. Speaker rental proposal</t>
  </si>
  <si>
    <t xml:space="preserve">6. Linkable redesign concept paper</t>
  </si>
  <si>
    <t xml:space="preserve">Lens views: rank by column B = keep your job; by C+D = launch order; by F = personal money. Weighted = balanced answer.</t>
  </si>
  <si>
    <t xml:space="preserve">Intake 10 Jun: capacity 12h/wk for items 3-6; workshop is BAU main job; hire desk = informal grumbling.</t>
  </si>
  <si>
    <t xml:space="preserve">Staircase reframed 10 Jun (PM): savings-led case - 250 fleet, piggyback transport, sale SKU. Sequence unchanged (deadlines rule W1-W5); proposal still lands W9.</t>
  </si>
  <si>
    <t xml:space="preserve">Investment I (AED)</t>
  </si>
  <si>
    <t xml:space="preserve">Annual T potential (AED)</t>
  </si>
  <si>
    <t xml:space="preserve">OE delta (AED/yr)</t>
  </si>
  <si>
    <t xml:space="preserve">Payback (months)</t>
  </si>
  <si>
    <t xml:space="preserve">Basis / assumptions (yellow = edit me)</t>
  </si>
  <si>
    <t xml:space="preserve">Stocktake true-up</t>
  </si>
  <si>
    <t xml:space="preserve">29 suspect OPO.L returned to rentable pool; 2,500 AED/mo rate x 30% utilisation uplift [ASSUMPTION]</t>
  </si>
  <si>
    <t xml:space="preserve">Workshop control</t>
  </si>
  <si>
    <t xml:space="preserve">Parts spend 250,000 AED/yr [ASSUMPTION]; shrinkage stopped 4%; I = labels/cage</t>
  </si>
  <si>
    <t xml:space="preserve">Staircase (250 units, savings-led)</t>
  </si>
  <si>
    <t xml:space="preserve">SAVINGS-LED: maintenance + transport savings are firm; rental at 20% util WEEK pricing as conservative upside. Full model: Staircase Model sheet</t>
  </si>
  <si>
    <t xml:space="preserve">Speaker rental (phase 1 rig)</t>
  </si>
  <si>
    <t xml:space="preserve">Phase-1 inventory 120k AED (subs+tops per analysis); rental yield 140%/yr of capex in MICE [ASSUMPTION]; OE = tech+transport</t>
  </si>
  <si>
    <t xml:space="preserve">Linkable redesign (pilot 5)</t>
  </si>
  <si>
    <t xml:space="preserve">Pilot 5 units at 45k; saves crane mob 3,500 AED x 60 moves/yr x 60% replaced [ASSUMPTION]</t>
  </si>
  <si>
    <t xml:space="preserve">Robotics showcase</t>
  </si>
  <si>
    <t xml:space="preserve">Strategic/visibility value - not cash-modelled</t>
  </si>
  <si>
    <t xml:space="preserve">#</t>
  </si>
  <si>
    <t xml:space="preserve">Failure mode</t>
  </si>
  <si>
    <t xml:space="preserve">Effect</t>
  </si>
  <si>
    <t xml:space="preserve">S</t>
  </si>
  <si>
    <t xml:space="preserve">O</t>
  </si>
  <si>
    <t xml:space="preserve">D</t>
  </si>
  <si>
    <t xml:space="preserve">RPN</t>
  </si>
  <si>
    <t xml:space="preserve">Mitigation</t>
  </si>
  <si>
    <t xml:space="preserve">Owner</t>
  </si>
  <si>
    <t xml:space="preserve">Stocktake stalls; suspects unresolved</t>
  </si>
  <si>
    <t xml:space="preserve">Hire desk distrust hardens; job-security risk</t>
  </si>
  <si>
    <t xml:space="preserve">Verify-First list already built; book half-day this week with hire-desk rep present</t>
  </si>
  <si>
    <t xml:space="preserve">Calo</t>
  </si>
  <si>
    <t xml:space="preserve">Hire desk escalates before true-up lands</t>
  </si>
  <si>
    <t xml:space="preserve">Narrative set by others, not by data</t>
  </si>
  <si>
    <t xml:space="preserve">Share 62-item findings NOW as interim proof of grip; joint sign-off of trued-up Season Stock</t>
  </si>
  <si>
    <t xml:space="preserve">Calo + Hire desk lead</t>
  </si>
  <si>
    <t xml:space="preserve">Duplicate 188 mis-assigned</t>
  </si>
  <si>
    <t xml:space="preserve">Register corrupted twice; audit credibility hit</t>
  </si>
  <si>
    <t xml:space="preserve">PDI-photo match protocol; if unprovable assign OPO.L.20.204</t>
  </si>
  <si>
    <t xml:space="preserve">DX team delays AppSheet build (10-12 wks)</t>
  </si>
  <si>
    <t xml:space="preserve">Workshop control gap persists</t>
  </si>
  <si>
    <t xml:space="preserve">Manual interim Option A live now; monthly stock-take bridge (Option B) as fallback</t>
  </si>
  <si>
    <t xml:space="preserve">Calo + DX</t>
  </si>
  <si>
    <t xml:space="preserve">Showcase live demo fails</t>
  </si>
  <si>
    <t xml:space="preserve">Visibility moment wasted in front of ExCo</t>
  </si>
  <si>
    <t xml:space="preserve">Scripted demo path; pre-recorded fallback video; rehearse twice</t>
  </si>
  <si>
    <t xml:space="preserve">Calo + CTO</t>
  </si>
  <si>
    <t xml:space="preserve">Design resource unavailable for staircase</t>
  </si>
  <si>
    <t xml:space="preserve">Proposal slips past budget window</t>
  </si>
  <si>
    <t xml:space="preserve">Issue RFQ on concept drawings + parts list from Blender model; refine after</t>
  </si>
  <si>
    <t xml:space="preserve">Calo + Design</t>
  </si>
  <si>
    <t xml:space="preserve">Staircase certification (load/HSE) overlooked</t>
  </si>
  <si>
    <t xml:space="preserve">Product unusable on event sites</t>
  </si>
  <si>
    <t xml:space="preserve">Spec EN 12811/load rating into RFQ; ask fabricators for certified design</t>
  </si>
  <si>
    <t xml:space="preserve">Design</t>
  </si>
  <si>
    <t xml:space="preserve">Speaker plan framed as cloning IP</t>
  </si>
  <si>
    <t xml:space="preserve">Legal/brand risk; exec rejection</t>
  </si>
  <si>
    <t xml:space="preserve">Follow no-clone strategy in analysis: cardioid subs + mid-market arrays, own branding</t>
  </si>
  <si>
    <t xml:space="preserve">Overcommitment; BAU quality slips</t>
  </si>
  <si>
    <t xml:space="preserve">The 18 PRD items + stocktake suffer = job risk</t>
  </si>
  <si>
    <t xml:space="preserve">8h/wk cap on side initiatives; sequence proposals one at a time</t>
  </si>
  <si>
    <t xml:space="preserve">Season Stock updated but process not changed</t>
  </si>
  <si>
    <t xml:space="preserve">Drift returns in 3 months</t>
  </si>
  <si>
    <t xml:space="preserve">Movement-trigger SOP: every DN/RN updates register same day; monthly cycle count</t>
  </si>
  <si>
    <t xml:space="preserve">Yard supervisor</t>
  </si>
  <si>
    <t xml:space="preserve">Week</t>
  </si>
  <si>
    <t xml:space="preserve">Dates</t>
  </si>
  <si>
    <t xml:space="preserve">Action</t>
  </si>
  <si>
    <t xml:space="preserve">Hours</t>
  </si>
  <si>
    <t xml:space="preserve">Milestone / exit criteria</t>
  </si>
  <si>
    <t xml:space="preserve">Status</t>
  </si>
  <si>
    <t xml:space="preserve">W1</t>
  </si>
  <si>
    <t xml:space="preserve">11-17 Jun</t>
  </si>
  <si>
    <t xml:space="preserve">Workshop (MAIN)</t>
  </si>
  <si>
    <t xml:space="preserve">PRD v1.1 review meeting with DX THIS WEEK - the 10-12wk app build must start now to fit the 3-month deadline</t>
  </si>
  <si>
    <t xml:space="preserve">DX build clock started</t>
  </si>
  <si>
    <t xml:space="preserve">Manual interim Option A go-live: issuance log, weekend procedure, e-resource cadence</t>
  </si>
  <si>
    <t xml:space="preserve">Calo + Stock controller</t>
  </si>
  <si>
    <t xml:space="preserve">Issuances logged from day 1</t>
  </si>
  <si>
    <t xml:space="preserve">Hire desk</t>
  </si>
  <si>
    <t xml:space="preserve">Walk the 62 Verify-First exceptions with one hire-desk rep; resolve duplicate 188 via PDI photos</t>
  </si>
  <si>
    <t xml:space="preserve">Calo + hire desk rep</t>
  </si>
  <si>
    <t xml:space="preserve">62 list closed; 188 resolved</t>
  </si>
  <si>
    <t xml:space="preserve">Robotics</t>
  </si>
  <si>
    <t xml:space="preserve">Lock showcase date + demo script with CTO</t>
  </si>
  <si>
    <t xml:space="preserve">Date + script agreed</t>
  </si>
  <si>
    <t xml:space="preserve">W2</t>
  </si>
  <si>
    <t xml:space="preserve">18-24 Jun</t>
  </si>
  <si>
    <t xml:space="preserve">Portaloo line-up + sticker check (DA.PL.57/58); START delegated PDI sprint: 3 technicians x ~5 PDIs/day</t>
  </si>
  <si>
    <t xml:space="preserve">3 techs + Calo QC</t>
  </si>
  <si>
    <t xml:space="preserve">Backlog 109 -&gt; ~60</t>
  </si>
  <si>
    <t xml:space="preserve">Staircase</t>
  </si>
  <si>
    <t xml:space="preserve">Hand designer the blend+brief; agree final technical design scope + load spec</t>
  </si>
  <si>
    <t xml:space="preserve">Design started</t>
  </si>
  <si>
    <t xml:space="preserve">Phases C/D from milestone tracker: catalog + photography continue alongside app build</t>
  </si>
  <si>
    <t xml:space="preserve">Stock controller</t>
  </si>
  <si>
    <t xml:space="preserve">Catalog moving</t>
  </si>
  <si>
    <t xml:space="preserve">W3</t>
  </si>
  <si>
    <t xml:space="preserve">25 Jun-1 Jul</t>
  </si>
  <si>
    <t xml:space="preserve">PDI sprint week 2 (techs continue); Calo spot-QCs 10%</t>
  </si>
  <si>
    <t xml:space="preserve">3 techs</t>
  </si>
  <si>
    <t xml:space="preserve">Backlog -&gt; ~20</t>
  </si>
  <si>
    <t xml:space="preserve">Vision training x3 sessions; rehearsal 1; record fallback video</t>
  </si>
  <si>
    <t xml:space="preserve">Clean scripted run</t>
  </si>
  <si>
    <t xml:space="preserve">W4</t>
  </si>
  <si>
    <t xml:space="preserve">2-8 Jul</t>
  </si>
  <si>
    <t xml:space="preserve">Backlog done; Season Stock TRUE-UP + joint sign-off with hire desk; movement-update SOP agreed (every DN/RN updates sheet same day)</t>
  </si>
  <si>
    <t xml:space="preserve">SIGNED baseline inside 1-mo deadline</t>
  </si>
  <si>
    <t xml:space="preserve">Rehearsal 2 + contingency check</t>
  </si>
  <si>
    <t xml:space="preserve">Demo locked</t>
  </si>
  <si>
    <t xml:space="preserve">W5</t>
  </si>
  <si>
    <t xml:space="preserve">9-15 Jul</t>
  </si>
  <si>
    <t xml:space="preserve">SHOWCASE to ExCo + ManCo (CTO soft deadline)</t>
  </si>
  <si>
    <t xml:space="preserve">Delivered; follow-ups captured</t>
  </si>
  <si>
    <t xml:space="preserve">Final design + parts list done; RFQ out to 3+ fabricators, qty 1 AND qty 100</t>
  </si>
  <si>
    <t xml:space="preserve">Design + Calo</t>
  </si>
  <si>
    <t xml:space="preserve">3+ RFQs issued</t>
  </si>
  <si>
    <t xml:space="preserve">W6-7</t>
  </si>
  <si>
    <t xml:space="preserve">16-29 Jul</t>
  </si>
  <si>
    <t xml:space="preserve">App build mid-checkpoint vs PRD; test data model + e-resource automation agent</t>
  </si>
  <si>
    <t xml:space="preserve">On schedule</t>
  </si>
  <si>
    <t xml:space="preserve">Monthly cycle count #1 (20 random units) - prove accuracy holds</t>
  </si>
  <si>
    <t xml:space="preserve">&gt;=98% match</t>
  </si>
  <si>
    <t xml:space="preserve">W8</t>
  </si>
  <si>
    <t xml:space="preserve">30 Jul-5 Aug</t>
  </si>
  <si>
    <t xml:space="preserve">Quotes back; comparison matrix; proposal pack (prototype + 100-unit pricing, wooden replacement case)</t>
  </si>
  <si>
    <t xml:space="preserve">Proposal ready</t>
  </si>
  <si>
    <t xml:space="preserve">W9</t>
  </si>
  <si>
    <t xml:space="preserve">6-12 Aug</t>
  </si>
  <si>
    <t xml:space="preserve">PROPOSAL TO MANAGER - your first revenue win</t>
  </si>
  <si>
    <t xml:space="preserve">Calo + Manager</t>
  </si>
  <si>
    <t xml:space="preserve">Prototype PO / decision</t>
  </si>
  <si>
    <t xml:space="preserve">W9-10</t>
  </si>
  <si>
    <t xml:space="preserve">6-19 Aug</t>
  </si>
  <si>
    <t xml:space="preserve">Speaker</t>
  </si>
  <si>
    <t xml:space="preserve">Convert Apr analysis into 3-page exec proposal: phase-1 rig, roster clients, breakeven</t>
  </si>
  <si>
    <t xml:space="preserve">Draft ready</t>
  </si>
  <si>
    <t xml:space="preserve">W11</t>
  </si>
  <si>
    <t xml:space="preserve">20-26 Aug</t>
  </si>
  <si>
    <t xml:space="preserve">Table speaker proposal (riding staircase credibility)</t>
  </si>
  <si>
    <t xml:space="preserve">Decision requested</t>
  </si>
  <si>
    <t xml:space="preserve">W11-12</t>
  </si>
  <si>
    <t xml:space="preserve">20 Aug-2 Sep</t>
  </si>
  <si>
    <t xml:space="preserve">Linkable</t>
  </si>
  <si>
    <t xml:space="preserve">1-page concept + crane-vs-forklift cost data collection</t>
  </si>
  <si>
    <t xml:space="preserve">Concept for capex cycle</t>
  </si>
  <si>
    <t xml:space="preserve">W12-13</t>
  </si>
  <si>
    <t xml:space="preserve">27 Aug-9 Sep</t>
  </si>
  <si>
    <t xml:space="preserve">App UAT -&gt; go-live + monitoring; manual-to-app transition per PRD section 18.7 - 3-MONTH DEADLINE MET</t>
  </si>
  <si>
    <t xml:space="preserve">Calo + DX + Stock controller</t>
  </si>
  <si>
    <t xml:space="preserve">LIVE</t>
  </si>
  <si>
    <t xml:space="preserve">W13</t>
  </si>
  <si>
    <t xml:space="preserve">3-9 Sep</t>
  </si>
  <si>
    <t xml:space="preserve">All</t>
  </si>
  <si>
    <t xml:space="preserve">90-day review vs scorecard; cycle count #3; next-quarter plan</t>
  </si>
  <si>
    <t xml:space="preserve">Scorecard green</t>
  </si>
  <si>
    <t xml:space="preserve">Capacity check: side-initiative rows (Robotics/Staircase/Speaker/Linkable) never exceed 12h in any week; PDI sprint is delegated to technicians (your 24-day solo estimate becomes ~8 working days of tech time + your QC).</t>
  </si>
  <si>
    <t xml:space="preserve">KPI</t>
  </si>
  <si>
    <t xml:space="preserve">Definition</t>
  </si>
  <si>
    <t xml:space="preserve">Target</t>
  </si>
  <si>
    <t xml:space="preserve">Cadence</t>
  </si>
  <si>
    <t xml:space="preserve">Data source</t>
  </si>
  <si>
    <t xml:space="preserve">Red trigger -&gt; reaction</t>
  </si>
  <si>
    <t xml:space="preserve">Register accuracy</t>
  </si>
  <si>
    <t xml:space="preserve">Cycle-count sample match vs register</t>
  </si>
  <si>
    <t xml:space="preserve">&gt;=98%</t>
  </si>
  <si>
    <t xml:space="preserve">Monthly (20 random units)</t>
  </si>
  <si>
    <t xml:space="preserve">Stocktake Action Pack</t>
  </si>
  <si>
    <t xml:space="preserve">&lt;95% -&gt; root cause within 1 wk</t>
  </si>
  <si>
    <t xml:space="preserve">Season Stock sync lag</t>
  </si>
  <si>
    <t xml:space="preserve">Days between physical movement and sheet update</t>
  </si>
  <si>
    <t xml:space="preserve">&lt;=2 days</t>
  </si>
  <si>
    <t xml:space="preserve">Weekly spot check</t>
  </si>
  <si>
    <t xml:space="preserve">Hire desk lead</t>
  </si>
  <si>
    <t xml:space="preserve">DN/RN log vs sheet</t>
  </si>
  <si>
    <t xml:space="preserve">&gt;5 days -&gt; escalate SOP breach</t>
  </si>
  <si>
    <t xml:space="preserve">PDI coverage</t>
  </si>
  <si>
    <t xml:space="preserve">% of in-yard fleet with PDI on file</t>
  </si>
  <si>
    <t xml:space="preserve">&gt;=95% by 9 Sep</t>
  </si>
  <si>
    <t xml:space="preserve">Weekly</t>
  </si>
  <si>
    <t xml:space="preserve">PDI Drive folder count</t>
  </si>
  <si>
    <t xml:space="preserve">Stalls 2 wks -&gt; reassign hours</t>
  </si>
  <si>
    <t xml:space="preserve">Verify-First exceptions open</t>
  </si>
  <si>
    <t xml:space="preserve">Of the 62 flagged units</t>
  </si>
  <si>
    <t xml:space="preserve">0 by 30 Jun</t>
  </si>
  <si>
    <t xml:space="preserve">Action Pack Verify sheet</t>
  </si>
  <si>
    <t xml:space="preserve">&gt;10 on 30 Jun -&gt; extend walk</t>
  </si>
  <si>
    <t xml:space="preserve">Parts issuance logged</t>
  </si>
  <si>
    <t xml:space="preserve">% workshop issues with log entry</t>
  </si>
  <si>
    <t xml:space="preserve">100%</t>
  </si>
  <si>
    <t xml:space="preserve">Manual log / AppSheet</t>
  </si>
  <si>
    <t xml:space="preserve">Any unlogged -&gt; retrain + lock store</t>
  </si>
  <si>
    <t xml:space="preserve">Parts shrinkage</t>
  </si>
  <si>
    <t xml:space="preserve">Unexplained stock variance</t>
  </si>
  <si>
    <t xml:space="preserve">&lt;1%/mo</t>
  </si>
  <si>
    <t xml:space="preserve">Monthly count</t>
  </si>
  <si>
    <t xml:space="preserve">e-resource vs physical</t>
  </si>
  <si>
    <t xml:space="preserve">&gt;2% -&gt; access review</t>
  </si>
  <si>
    <t xml:space="preserve">Staircase pipeline</t>
  </si>
  <si>
    <t xml:space="preserve">RFQs received</t>
  </si>
  <si>
    <t xml:space="preserve">&gt;=3 quotes by 5 Aug</t>
  </si>
  <si>
    <t xml:space="preserve">Biweekly</t>
  </si>
  <si>
    <t xml:space="preserve">RFQ tracker</t>
  </si>
  <si>
    <t xml:space="preserve">&lt;2 -&gt; widen fabricator list</t>
  </si>
  <si>
    <t xml:space="preserve">Showcase readiness</t>
  </si>
  <si>
    <t xml:space="preserve">Scripted demo pass rate</t>
  </si>
  <si>
    <t xml:space="preserve">2 clean rehearsals</t>
  </si>
  <si>
    <t xml:space="preserve">Before event</t>
  </si>
  <si>
    <t xml:space="preserve">Rehearsal log</t>
  </si>
  <si>
    <t xml:space="preserve">Fail -&gt; default to video</t>
  </si>
  <si>
    <t xml:space="preserve">Side-initiative hours</t>
  </si>
  <si>
    <t xml:space="preserve">Hours/wk on items 3-6</t>
  </si>
  <si>
    <t xml:space="preserve">&lt;=12h/wk</t>
  </si>
  <si>
    <t xml:space="preserve">Self-track</t>
  </si>
  <si>
    <t xml:space="preserve">&gt;14h 2wks running -&gt; drop lowest rank</t>
  </si>
  <si>
    <t xml:space="preserve">STAIRCASE: SAVINGS-LED BUSINESS CASE (edit blue inputs; yellow = pull from actuals)</t>
  </si>
  <si>
    <t xml:space="preserve">INPUTS</t>
  </si>
  <si>
    <t xml:space="preserve">Fleet size at full rollout (you said 200-300)</t>
  </si>
  <si>
    <t xml:space="preserve">Build cost per metal unit (pending RFQ)</t>
  </si>
  <si>
    <t xml:space="preserve">AED - confirm with quotes</t>
  </si>
  <si>
    <t xml:space="preserve">Wooden maintenance per unit per yr (wood+paint+astroturf)</t>
  </si>
  <si>
    <t xml:space="preserve">AED - PULL FROM WORKSHOP ACTUALS</t>
  </si>
  <si>
    <t xml:space="preserve">Metal maintenance per unit per yr</t>
  </si>
  <si>
    <t xml:space="preserve">AED - coating touch-up only</t>
  </si>
  <si>
    <t xml:space="preserve">Staircase unit-movements per yr</t>
  </si>
  <si>
    <t xml:space="preserve">PULL FROM DELIVERY NOTES</t>
  </si>
  <si>
    <t xml:space="preserve">Wooden: units per truck</t>
  </si>
  <si>
    <t xml:space="preserve">and it is a SEPARATE truck</t>
  </si>
  <si>
    <t xml:space="preserve">Truck trip cost</t>
  </si>
  <si>
    <t xml:space="preserve">AED - PULL FROM LOGISTICS ACTUALS</t>
  </si>
  <si>
    <t xml:space="preserve">Metal: rides between cabins on same truck</t>
  </si>
  <si>
    <t xml:space="preserve">1=yes (0 dedicated trips for bundled moves)</t>
  </si>
  <si>
    <t xml:space="preserve">Metal: units per truck when standalone</t>
  </si>
  <si>
    <t xml:space="preserve">flat-folded</t>
  </si>
  <si>
    <t xml:space="preserve">Standalone rental rate - WEEK scenario</t>
  </si>
  <si>
    <t xml:space="preserve">AED/wk</t>
  </si>
  <si>
    <t xml:space="preserve">Standalone rental rate - DAY scenario</t>
  </si>
  <si>
    <t xml:space="preserve">AED/day (events only)</t>
  </si>
  <si>
    <t xml:space="preserve">Sale price per unit (new standalone product)</t>
  </si>
  <si>
    <t xml:space="preserve">AED</t>
  </si>
  <si>
    <t xml:space="preserve">Units sold per yr</t>
  </si>
  <si>
    <t xml:space="preserve">conservative</t>
  </si>
  <si>
    <t xml:space="preserve">SAVINGS (the firm part of the case)</t>
  </si>
  <si>
    <t xml:space="preserve">Maintenance saving per yr</t>
  </si>
  <si>
    <t xml:space="preserve">fleet x (wood - metal)</t>
  </si>
  <si>
    <t xml:space="preserve">Transport: wooden dedicated trips per yr</t>
  </si>
  <si>
    <t xml:space="preserve">Transport: metal dedicated trips per yr</t>
  </si>
  <si>
    <t xml:space="preserve">rides with cabins</t>
  </si>
  <si>
    <t xml:space="preserve">Transport saving per yr</t>
  </si>
  <si>
    <t xml:space="preserve">TOTAL ANNUAL SAVING</t>
  </si>
  <si>
    <t xml:space="preserve">Capex (full fleet)</t>
  </si>
  <si>
    <t xml:space="preserve">Payback from savings alone (months)</t>
  </si>
  <si>
    <t xml:space="preserve">REVENUE UPSIDE (the speculative part - price point unresolved)</t>
  </si>
  <si>
    <t xml:space="preserve">Utilisation scenario</t>
  </si>
  <si>
    <t xml:space="preserve">20%</t>
  </si>
  <si>
    <t xml:space="preserve">40%|60% grid below</t>
  </si>
  <si>
    <t xml:space="preserve">Annual rental revenue grid (fleet x util x rate)</t>
  </si>
  <si>
    <t xml:space="preserve">WEEK pricing (x52)</t>
  </si>
  <si>
    <t xml:space="preserve">DAY pricing (x365)</t>
  </si>
  <si>
    <t xml:space="preserve">Utilisation 20%</t>
  </si>
  <si>
    <t xml:space="preserve">Utilisation 40%</t>
  </si>
  <si>
    <t xml:space="preserve">Utilisation 60%</t>
  </si>
  <si>
    <t xml:space="preserve">Sales margin per yr</t>
  </si>
  <si>
    <t xml:space="preserve">PROPOSAL FRAMING</t>
  </si>
  <si>
    <t xml:space="preserve">Lead with savings: maintenance + transport pay for the fleet in ~B25 months with zero demand risk.</t>
  </si>
  <si>
    <t xml:space="preserve">Rental + sales are upside, not the case. Day-rate applies to event walkway/bridge/ramp configs only.</t>
  </si>
  <si>
    <t xml:space="preserve">Wooden standalone rental today ~1%/yr - the modular configs (walkway, bridge, ramp, ladder, shelf) create NEW standalone demand that wood cannot serve.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</si>
</sst>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2"/>
    <col collapsed="false" customWidth="true" hidden="false" outlineLevel="0" max="3" min="3" style="1" width="40"/>
    <col collapsed="false" customWidth="true" hidden="false" outlineLevel="0" max="4" min="4" style="1" width="12"/>
  </cols>
  <sheetData>
    <row r="1" customFormat="false" ht="15" hidden="false" customHeight="true" outlineLevel="0" collapsed="false">
      <c r="A1" s="5" t="s">
        <v>3</v>
      </c>
      <c r="B1" s="5" t="s">
        <v>4</v>
      </c>
      <c r="C1" s="5" t="s">
        <v>5</v>
      </c>
      <c r="D1" s="5" t="s">
        <v>6</v>
      </c>
    </row>
    <row r="2" customFormat="false" ht="23.25" hidden="false" customHeight="true" outlineLevel="0" collapsed="false">
      <c r="A2" s="6" t="s">
        <v>7</v>
      </c>
      <c r="B2" s="6" t="s">
        <v>8</v>
      </c>
      <c r="C2" s="6" t="s">
        <v>9</v>
      </c>
      <c r="D2" s="6" t="n">
        <v>80</v>
      </c>
    </row>
    <row r="3" customFormat="false" ht="23.25" hidden="false" customHeight="true" outlineLevel="0" collapsed="false">
      <c r="A3" s="6" t="s">
        <v>10</v>
      </c>
      <c r="B3" s="6" t="s">
        <v>11</v>
      </c>
      <c r="C3" s="6" t="s">
        <v>12</v>
      </c>
      <c r="D3" s="6" t="n">
        <v>60</v>
      </c>
    </row>
    <row r="4" customFormat="false" ht="34.5" hidden="false" customHeight="true" outlineLevel="0" collapsed="false">
      <c r="A4" s="6" t="s">
        <v>13</v>
      </c>
      <c r="B4" s="6" t="s">
        <v>14</v>
      </c>
      <c r="C4" s="6" t="s">
        <v>15</v>
      </c>
      <c r="D4" s="6" t="n">
        <v>70</v>
      </c>
    </row>
    <row r="5" customFormat="false" ht="23.25" hidden="false" customHeight="true" outlineLevel="0" collapsed="false">
      <c r="A5" s="6" t="s">
        <v>16</v>
      </c>
      <c r="B5" s="6" t="s">
        <v>17</v>
      </c>
      <c r="C5" s="6" t="s">
        <v>18</v>
      </c>
      <c r="D5" s="6" t="n">
        <v>35</v>
      </c>
    </row>
    <row r="6" customFormat="false" ht="34.5" hidden="false" customHeight="true" outlineLevel="0" collapsed="false">
      <c r="A6" s="6" t="s">
        <v>19</v>
      </c>
      <c r="B6" s="6" t="s">
        <v>20</v>
      </c>
      <c r="C6" s="6" t="s">
        <v>21</v>
      </c>
      <c r="D6" s="6" t="n">
        <v>45</v>
      </c>
    </row>
    <row r="7" customFormat="false" ht="23.25" hidden="false" customHeight="true" outlineLevel="0" collapsed="false">
      <c r="A7" s="6" t="s">
        <v>22</v>
      </c>
      <c r="B7" s="6" t="s">
        <v>23</v>
      </c>
      <c r="C7" s="6" t="s">
        <v>24</v>
      </c>
      <c r="D7" s="6" t="n">
        <v>10</v>
      </c>
    </row>
    <row r="8" customFormat="false" ht="23.25" hidden="false" customHeight="true" outlineLevel="0" collapsed="false">
      <c r="A8" s="6" t="s">
        <v>25</v>
      </c>
      <c r="B8" s="7" t="s">
        <v>26</v>
      </c>
      <c r="C8" s="6" t="s">
        <v>27</v>
      </c>
      <c r="D8" s="6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3"/>
    <col collapsed="false" customWidth="true" hidden="false" outlineLevel="0" max="5" min="5" style="1" width="15"/>
    <col collapsed="false" customWidth="true" hidden="false" outlineLevel="0" max="7" min="6" style="1" width="13"/>
    <col collapsed="false" customWidth="true" hidden="false" outlineLevel="0" max="8" min="8" style="1" width="8"/>
  </cols>
  <sheetData>
    <row r="1" customFormat="false" ht="1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customFormat="false" ht="15" hidden="false" customHeight="true" outlineLevel="0" collapsed="false">
      <c r="A2" s="1" t="s">
        <v>34</v>
      </c>
      <c r="B2" s="8" t="n">
        <v>0.3</v>
      </c>
      <c r="C2" s="8" t="n">
        <v>0.2</v>
      </c>
      <c r="D2" s="8" t="n">
        <v>0.2</v>
      </c>
      <c r="E2" s="8" t="n">
        <v>0.2</v>
      </c>
      <c r="F2" s="8" t="n">
        <v>0.1</v>
      </c>
    </row>
    <row r="4" customFormat="false" ht="23.25" hidden="false" customHeight="true" outlineLevel="0" collapsed="false">
      <c r="A4" s="5" t="s">
        <v>3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41</v>
      </c>
    </row>
    <row r="5" customFormat="false" ht="15" hidden="false" customHeight="true" outlineLevel="0" collapsed="false">
      <c r="A5" s="9" t="s">
        <v>42</v>
      </c>
      <c r="B5" s="10" t="n">
        <v>4</v>
      </c>
      <c r="C5" s="10" t="n">
        <v>5</v>
      </c>
      <c r="D5" s="10" t="n">
        <v>5</v>
      </c>
      <c r="E5" s="10" t="n">
        <v>4</v>
      </c>
      <c r="F5" s="10" t="n">
        <v>4</v>
      </c>
      <c r="G5" s="9" t="n">
        <f aca="false">B5*$B$2+C5*$C$2+D5*$D$2+E5*$E$2+F5*$F$2</f>
        <v>4.4</v>
      </c>
      <c r="H5" s="9" t="n">
        <f aca="false">RANK(G5,$G$5:$G$10)</f>
        <v>2</v>
      </c>
    </row>
    <row r="6" customFormat="false" ht="15" hidden="false" customHeight="true" outlineLevel="0" collapsed="false">
      <c r="A6" s="9" t="s">
        <v>43</v>
      </c>
      <c r="B6" s="10" t="n">
        <v>5</v>
      </c>
      <c r="C6" s="10" t="n">
        <v>4</v>
      </c>
      <c r="D6" s="10" t="n">
        <v>5</v>
      </c>
      <c r="E6" s="10" t="n">
        <v>4</v>
      </c>
      <c r="F6" s="10" t="n">
        <v>4</v>
      </c>
      <c r="G6" s="9" t="n">
        <f aca="false">B6*$B$2+C6*$C$2+D6*$D$2+E6*$E$2+F6*$F$2</f>
        <v>4.5</v>
      </c>
      <c r="H6" s="9" t="n">
        <f aca="false">RANK(G6,$G$5:$G$10)</f>
        <v>1</v>
      </c>
    </row>
    <row r="7" customFormat="false" ht="15" hidden="false" customHeight="true" outlineLevel="0" collapsed="false">
      <c r="A7" s="9" t="s">
        <v>44</v>
      </c>
      <c r="B7" s="10" t="n">
        <v>3</v>
      </c>
      <c r="C7" s="10" t="n">
        <v>4</v>
      </c>
      <c r="D7" s="10" t="n">
        <v>4</v>
      </c>
      <c r="E7" s="10" t="n">
        <v>2</v>
      </c>
      <c r="F7" s="10" t="n">
        <v>5</v>
      </c>
      <c r="G7" s="9" t="n">
        <f aca="false">B7*$B$2+C7*$C$2+D7*$D$2+E7*$E$2+F7*$F$2</f>
        <v>3.4</v>
      </c>
      <c r="H7" s="9" t="n">
        <f aca="false">RANK(G7,$G$5:$G$10)</f>
        <v>4</v>
      </c>
    </row>
    <row r="8" customFormat="false" ht="15" hidden="false" customHeight="true" outlineLevel="0" collapsed="false">
      <c r="A8" s="9" t="s">
        <v>45</v>
      </c>
      <c r="B8" s="10" t="n">
        <v>3</v>
      </c>
      <c r="C8" s="10" t="n">
        <v>4</v>
      </c>
      <c r="D8" s="10" t="n">
        <v>4</v>
      </c>
      <c r="E8" s="10" t="n">
        <v>5</v>
      </c>
      <c r="F8" s="10" t="n">
        <v>5</v>
      </c>
      <c r="G8" s="9" t="n">
        <f aca="false">B8*$B$2+C8*$C$2+D8*$D$2+E8*$E$2+F8*$F$2</f>
        <v>4</v>
      </c>
      <c r="H8" s="9" t="n">
        <f aca="false">RANK(G8,$G$5:$G$10)</f>
        <v>3</v>
      </c>
    </row>
    <row r="9" customFormat="false" ht="15" hidden="false" customHeight="true" outlineLevel="0" collapsed="false">
      <c r="A9" s="9" t="s">
        <v>46</v>
      </c>
      <c r="B9" s="10" t="n">
        <v>2</v>
      </c>
      <c r="C9" s="10" t="n">
        <v>2</v>
      </c>
      <c r="D9" s="10" t="n">
        <v>3</v>
      </c>
      <c r="E9" s="10" t="n">
        <v>5</v>
      </c>
      <c r="F9" s="10" t="n">
        <v>4</v>
      </c>
      <c r="G9" s="9" t="n">
        <f aca="false">B9*$B$2+C9*$C$2+D9*$D$2+E9*$E$2+F9*$F$2</f>
        <v>3</v>
      </c>
      <c r="H9" s="9" t="n">
        <f aca="false">RANK(G9,$G$5:$G$10)</f>
        <v>5</v>
      </c>
    </row>
    <row r="10" customFormat="false" ht="15" hidden="false" customHeight="true" outlineLevel="0" collapsed="false">
      <c r="A10" s="9" t="s">
        <v>47</v>
      </c>
      <c r="B10" s="10" t="n">
        <v>2</v>
      </c>
      <c r="C10" s="10" t="n">
        <v>1</v>
      </c>
      <c r="D10" s="10" t="n">
        <v>2</v>
      </c>
      <c r="E10" s="10" t="n">
        <v>5</v>
      </c>
      <c r="F10" s="10" t="n">
        <v>3</v>
      </c>
      <c r="G10" s="9" t="n">
        <f aca="false">B10*$B$2+C10*$C$2+D10*$D$2+E10*$E$2+F10*$F$2</f>
        <v>2.5</v>
      </c>
      <c r="H10" s="9" t="n">
        <f aca="false">RANK(G10,$G$5:$G$10)</f>
        <v>6</v>
      </c>
    </row>
    <row r="12" customFormat="false" ht="15" hidden="false" customHeight="true" outlineLevel="0" collapsed="false">
      <c r="A12" s="4" t="s">
        <v>48</v>
      </c>
    </row>
    <row r="13" customFormat="false" ht="15" hidden="false" customHeight="true" outlineLevel="0" collapsed="false">
      <c r="A13" s="4" t="s">
        <v>49</v>
      </c>
    </row>
    <row r="14" customFormat="false" ht="15" hidden="false" customHeight="false" outlineLevel="0" collapsed="false">
      <c r="A14" s="11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5" min="4" style="1" width="14"/>
    <col collapsed="false" customWidth="true" hidden="false" outlineLevel="0" max="6" min="6" style="1" width="62"/>
  </cols>
  <sheetData>
    <row r="1" customFormat="false" ht="23.25" hidden="false" customHeight="true" outlineLevel="0" collapsed="false">
      <c r="A1" s="5" t="s">
        <v>3</v>
      </c>
      <c r="B1" s="5" t="s">
        <v>51</v>
      </c>
      <c r="C1" s="5" t="s">
        <v>52</v>
      </c>
      <c r="D1" s="5" t="s">
        <v>53</v>
      </c>
      <c r="E1" s="5" t="s">
        <v>54</v>
      </c>
      <c r="F1" s="5" t="s">
        <v>55</v>
      </c>
    </row>
    <row r="2" customFormat="false" ht="23.25" hidden="false" customHeight="true" outlineLevel="0" collapsed="false">
      <c r="A2" s="6" t="s">
        <v>56</v>
      </c>
      <c r="B2" s="6" t="n">
        <v>0</v>
      </c>
      <c r="C2" s="6" t="n">
        <f aca="false">29*2500*12*0.3</f>
        <v>261000</v>
      </c>
      <c r="D2" s="6" t="n">
        <v>0</v>
      </c>
      <c r="E2" s="6" t="n">
        <f aca="false">IF(C2&gt;0,0,0)</f>
        <v>0</v>
      </c>
      <c r="F2" s="7" t="s">
        <v>57</v>
      </c>
    </row>
    <row r="3" customFormat="false" ht="23.25" hidden="false" customHeight="true" outlineLevel="0" collapsed="false">
      <c r="A3" s="6" t="s">
        <v>58</v>
      </c>
      <c r="B3" s="6" t="n">
        <f aca="false">2000</f>
        <v>2000</v>
      </c>
      <c r="C3" s="6" t="n">
        <f aca="false">250000*0.04</f>
        <v>10000</v>
      </c>
      <c r="D3" s="6" t="n">
        <v>0</v>
      </c>
      <c r="E3" s="6" t="n">
        <f aca="false">B3/(C3/12)</f>
        <v>2.4</v>
      </c>
      <c r="F3" s="7" t="s">
        <v>59</v>
      </c>
    </row>
    <row r="4" customFormat="false" ht="23.25" hidden="false" customHeight="true" outlineLevel="0" collapsed="false">
      <c r="A4" s="6" t="s">
        <v>60</v>
      </c>
      <c r="B4" s="6" t="n">
        <f aca="false">'Staircase Model'!B24</f>
        <v>300000</v>
      </c>
      <c r="C4" s="6" t="n">
        <f aca="false">'Staircase Model'!B23+'Staircase Model'!B31</f>
        <v>525500</v>
      </c>
      <c r="D4" s="6" t="n">
        <f aca="false">250*'Staircase Model'!B7</f>
        <v>12500</v>
      </c>
      <c r="E4" s="6" t="n">
        <f aca="false">'Staircase Model'!B25</f>
        <v>26.5682656826568</v>
      </c>
      <c r="F4" s="12" t="s">
        <v>61</v>
      </c>
    </row>
    <row r="5" customFormat="false" ht="23.25" hidden="false" customHeight="true" outlineLevel="0" collapsed="false">
      <c r="A5" s="6" t="s">
        <v>62</v>
      </c>
      <c r="B5" s="6" t="n">
        <f aca="false">120000</f>
        <v>120000</v>
      </c>
      <c r="C5" s="6" t="n">
        <f aca="false">120000*1.4</f>
        <v>168000</v>
      </c>
      <c r="D5" s="6" t="n">
        <f aca="false">35000</f>
        <v>35000</v>
      </c>
      <c r="E5" s="6" t="n">
        <f aca="false">B5/((C5-D5)/12)</f>
        <v>10.8270676691729</v>
      </c>
      <c r="F5" s="7" t="s">
        <v>63</v>
      </c>
    </row>
    <row r="6" customFormat="false" ht="23.25" hidden="false" customHeight="true" outlineLevel="0" collapsed="false">
      <c r="A6" s="6" t="s">
        <v>64</v>
      </c>
      <c r="B6" s="6" t="n">
        <f aca="false">5*45000</f>
        <v>225000</v>
      </c>
      <c r="C6" s="6" t="n">
        <f aca="false">3500*60*0.6</f>
        <v>126000</v>
      </c>
      <c r="D6" s="6" t="n">
        <f aca="false">10000</f>
        <v>10000</v>
      </c>
      <c r="E6" s="6" t="n">
        <f aca="false">B6/((C6-D6)/12)</f>
        <v>23.2758620689655</v>
      </c>
      <c r="F6" s="7" t="s">
        <v>65</v>
      </c>
    </row>
    <row r="7" customFormat="false" ht="15" hidden="false" customHeight="true" outlineLevel="0" collapsed="false">
      <c r="A7" s="6" t="s">
        <v>66</v>
      </c>
      <c r="B7" s="6" t="n">
        <v>0</v>
      </c>
      <c r="C7" s="6" t="n">
        <v>0</v>
      </c>
      <c r="D7" s="6" t="n">
        <v>0</v>
      </c>
      <c r="E7" s="6"/>
      <c r="F7" s="7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6" min="4" style="1" width="5"/>
    <col collapsed="false" customWidth="true" hidden="false" outlineLevel="0" max="7" min="7" style="1" width="7"/>
    <col collapsed="false" customWidth="true" hidden="false" outlineLevel="0" max="8" min="8" style="1" width="52"/>
    <col collapsed="false" customWidth="true" hidden="false" outlineLevel="0" max="9" min="9" style="1" width="16"/>
  </cols>
  <sheetData>
    <row r="1" customFormat="false" ht="15" hidden="false" customHeight="true" outlineLevel="0" collapsed="false">
      <c r="A1" s="5" t="s">
        <v>68</v>
      </c>
      <c r="B1" s="5" t="s">
        <v>69</v>
      </c>
      <c r="C1" s="5" t="s">
        <v>70</v>
      </c>
      <c r="D1" s="5" t="s">
        <v>71</v>
      </c>
      <c r="E1" s="5" t="s">
        <v>72</v>
      </c>
      <c r="F1" s="5" t="s">
        <v>73</v>
      </c>
      <c r="G1" s="5" t="s">
        <v>74</v>
      </c>
      <c r="H1" s="5" t="s">
        <v>75</v>
      </c>
      <c r="I1" s="5" t="s">
        <v>76</v>
      </c>
    </row>
    <row r="2" customFormat="false" ht="23.25" hidden="false" customHeight="true" outlineLevel="0" collapsed="false">
      <c r="A2" s="6" t="n">
        <v>1</v>
      </c>
      <c r="B2" s="6" t="s">
        <v>77</v>
      </c>
      <c r="C2" s="6" t="s">
        <v>78</v>
      </c>
      <c r="D2" s="6" t="n">
        <v>8</v>
      </c>
      <c r="E2" s="6" t="n">
        <v>4</v>
      </c>
      <c r="F2" s="6" t="n">
        <v>3</v>
      </c>
      <c r="G2" s="6" t="n">
        <f aca="false">D2*E2*F2</f>
        <v>96</v>
      </c>
      <c r="H2" s="6" t="s">
        <v>79</v>
      </c>
      <c r="I2" s="6" t="s">
        <v>80</v>
      </c>
    </row>
    <row r="3" customFormat="false" ht="23.25" hidden="false" customHeight="true" outlineLevel="0" collapsed="false">
      <c r="A3" s="6" t="n">
        <v>2</v>
      </c>
      <c r="B3" s="6" t="s">
        <v>81</v>
      </c>
      <c r="C3" s="6" t="s">
        <v>82</v>
      </c>
      <c r="D3" s="6" t="n">
        <v>7</v>
      </c>
      <c r="E3" s="6" t="n">
        <v>3</v>
      </c>
      <c r="F3" s="6" t="n">
        <v>2</v>
      </c>
      <c r="G3" s="6" t="n">
        <f aca="false">D3*E3*F3</f>
        <v>42</v>
      </c>
      <c r="H3" s="6" t="s">
        <v>83</v>
      </c>
      <c r="I3" s="6" t="s">
        <v>84</v>
      </c>
    </row>
    <row r="4" customFormat="false" ht="23.25" hidden="false" customHeight="true" outlineLevel="0" collapsed="false">
      <c r="A4" s="6" t="n">
        <v>3</v>
      </c>
      <c r="B4" s="6" t="s">
        <v>85</v>
      </c>
      <c r="C4" s="6" t="s">
        <v>86</v>
      </c>
      <c r="D4" s="6" t="n">
        <v>6</v>
      </c>
      <c r="E4" s="6" t="n">
        <v>3</v>
      </c>
      <c r="F4" s="6" t="n">
        <v>4</v>
      </c>
      <c r="G4" s="6" t="n">
        <f aca="false">D4*E4*F4</f>
        <v>72</v>
      </c>
      <c r="H4" s="6" t="s">
        <v>87</v>
      </c>
      <c r="I4" s="6" t="s">
        <v>80</v>
      </c>
    </row>
    <row r="5" customFormat="false" ht="23.25" hidden="false" customHeight="true" outlineLevel="0" collapsed="false">
      <c r="A5" s="6" t="n">
        <v>4</v>
      </c>
      <c r="B5" s="6" t="s">
        <v>88</v>
      </c>
      <c r="C5" s="6" t="s">
        <v>89</v>
      </c>
      <c r="D5" s="6" t="n">
        <v>6</v>
      </c>
      <c r="E5" s="6" t="n">
        <v>6</v>
      </c>
      <c r="F5" s="6" t="n">
        <v>2</v>
      </c>
      <c r="G5" s="6" t="n">
        <f aca="false">D5*E5*F5</f>
        <v>72</v>
      </c>
      <c r="H5" s="6" t="s">
        <v>90</v>
      </c>
      <c r="I5" s="6" t="s">
        <v>91</v>
      </c>
    </row>
    <row r="6" customFormat="false" ht="23.25" hidden="false" customHeight="true" outlineLevel="0" collapsed="false">
      <c r="A6" s="6" t="n">
        <v>5</v>
      </c>
      <c r="B6" s="6" t="s">
        <v>92</v>
      </c>
      <c r="C6" s="6" t="s">
        <v>93</v>
      </c>
      <c r="D6" s="6" t="n">
        <v>8</v>
      </c>
      <c r="E6" s="6" t="n">
        <v>4</v>
      </c>
      <c r="F6" s="6" t="n">
        <v>3</v>
      </c>
      <c r="G6" s="6" t="n">
        <f aca="false">D6*E6*F6</f>
        <v>96</v>
      </c>
      <c r="H6" s="6" t="s">
        <v>94</v>
      </c>
      <c r="I6" s="6" t="s">
        <v>95</v>
      </c>
    </row>
    <row r="7" customFormat="false" ht="23.25" hidden="false" customHeight="true" outlineLevel="0" collapsed="false">
      <c r="A7" s="6" t="n">
        <v>6</v>
      </c>
      <c r="B7" s="6" t="s">
        <v>96</v>
      </c>
      <c r="C7" s="6" t="s">
        <v>97</v>
      </c>
      <c r="D7" s="6" t="n">
        <v>5</v>
      </c>
      <c r="E7" s="6" t="n">
        <v>5</v>
      </c>
      <c r="F7" s="6" t="n">
        <v>3</v>
      </c>
      <c r="G7" s="6" t="n">
        <f aca="false">D7*E7*F7</f>
        <v>75</v>
      </c>
      <c r="H7" s="6" t="s">
        <v>98</v>
      </c>
      <c r="I7" s="6" t="s">
        <v>99</v>
      </c>
    </row>
    <row r="8" customFormat="false" ht="23.25" hidden="false" customHeight="true" outlineLevel="0" collapsed="false">
      <c r="A8" s="6" t="n">
        <v>7</v>
      </c>
      <c r="B8" s="6" t="s">
        <v>100</v>
      </c>
      <c r="C8" s="6" t="s">
        <v>101</v>
      </c>
      <c r="D8" s="6" t="n">
        <v>9</v>
      </c>
      <c r="E8" s="6" t="n">
        <v>3</v>
      </c>
      <c r="F8" s="6" t="n">
        <v>5</v>
      </c>
      <c r="G8" s="6" t="n">
        <f aca="false">D8*E8*F8</f>
        <v>135</v>
      </c>
      <c r="H8" s="6" t="s">
        <v>102</v>
      </c>
      <c r="I8" s="6" t="s">
        <v>103</v>
      </c>
    </row>
    <row r="9" customFormat="false" ht="23.25" hidden="false" customHeight="true" outlineLevel="0" collapsed="false">
      <c r="A9" s="6" t="n">
        <v>8</v>
      </c>
      <c r="B9" s="6" t="s">
        <v>104</v>
      </c>
      <c r="C9" s="6" t="s">
        <v>105</v>
      </c>
      <c r="D9" s="6" t="n">
        <v>7</v>
      </c>
      <c r="E9" s="6" t="n">
        <v>3</v>
      </c>
      <c r="F9" s="6" t="n">
        <v>4</v>
      </c>
      <c r="G9" s="6" t="n">
        <f aca="false">D9*E9*F9</f>
        <v>84</v>
      </c>
      <c r="H9" s="6" t="s">
        <v>106</v>
      </c>
      <c r="I9" s="6" t="s">
        <v>80</v>
      </c>
    </row>
    <row r="10" customFormat="false" ht="23.25" hidden="false" customHeight="true" outlineLevel="0" collapsed="false">
      <c r="A10" s="6" t="n">
        <v>9</v>
      </c>
      <c r="B10" s="6" t="s">
        <v>107</v>
      </c>
      <c r="C10" s="6" t="s">
        <v>108</v>
      </c>
      <c r="D10" s="6" t="n">
        <v>8</v>
      </c>
      <c r="E10" s="6" t="n">
        <v>5</v>
      </c>
      <c r="F10" s="6" t="n">
        <v>3</v>
      </c>
      <c r="G10" s="6" t="n">
        <f aca="false">D10*E10*F10</f>
        <v>120</v>
      </c>
      <c r="H10" s="6" t="s">
        <v>109</v>
      </c>
      <c r="I10" s="6" t="s">
        <v>80</v>
      </c>
    </row>
    <row r="11" customFormat="false" ht="23.25" hidden="false" customHeight="true" outlineLevel="0" collapsed="false">
      <c r="A11" s="6" t="n">
        <v>10</v>
      </c>
      <c r="B11" s="6" t="s">
        <v>110</v>
      </c>
      <c r="C11" s="6" t="s">
        <v>111</v>
      </c>
      <c r="D11" s="6" t="n">
        <v>7</v>
      </c>
      <c r="E11" s="6" t="n">
        <v>5</v>
      </c>
      <c r="F11" s="6" t="n">
        <v>4</v>
      </c>
      <c r="G11" s="6" t="n">
        <f aca="false">D11*E11*F11</f>
        <v>140</v>
      </c>
      <c r="H11" s="6" t="s">
        <v>112</v>
      </c>
      <c r="I11" s="6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3"/>
    <col collapsed="false" customWidth="true" hidden="false" outlineLevel="0" max="3" min="3" style="1" width="11"/>
    <col collapsed="false" customWidth="true" hidden="false" outlineLevel="0" max="4" min="4" style="1" width="58"/>
    <col collapsed="false" customWidth="true" hidden="false" outlineLevel="0" max="5" min="5" style="1" width="18"/>
    <col collapsed="false" customWidth="true" hidden="false" outlineLevel="0" max="6" min="6" style="1" width="7"/>
    <col collapsed="false" customWidth="true" hidden="false" outlineLevel="0" max="7" min="7" style="1" width="30"/>
    <col collapsed="false" customWidth="true" hidden="false" outlineLevel="0" max="8" min="8" style="1" width="9"/>
  </cols>
  <sheetData>
    <row r="1" customFormat="false" ht="15" hidden="false" customHeight="true" outlineLevel="0" collapsed="false">
      <c r="A1" s="5" t="s">
        <v>114</v>
      </c>
      <c r="B1" s="5" t="s">
        <v>115</v>
      </c>
      <c r="C1" s="5" t="s">
        <v>3</v>
      </c>
      <c r="D1" s="5" t="s">
        <v>116</v>
      </c>
      <c r="E1" s="5" t="s">
        <v>76</v>
      </c>
      <c r="F1" s="5" t="s">
        <v>117</v>
      </c>
      <c r="G1" s="5" t="s">
        <v>118</v>
      </c>
      <c r="H1" s="5" t="s">
        <v>119</v>
      </c>
    </row>
    <row r="2" customFormat="false" ht="23.25" hidden="false" customHeight="true" outlineLevel="0" collapsed="false">
      <c r="A2" s="6" t="s">
        <v>120</v>
      </c>
      <c r="B2" s="6" t="s">
        <v>121</v>
      </c>
      <c r="C2" s="6" t="s">
        <v>122</v>
      </c>
      <c r="D2" s="6" t="s">
        <v>123</v>
      </c>
      <c r="E2" s="6" t="s">
        <v>91</v>
      </c>
      <c r="F2" s="6" t="n">
        <v>3</v>
      </c>
      <c r="G2" s="6" t="s">
        <v>124</v>
      </c>
      <c r="H2" s="6"/>
    </row>
    <row r="3" customFormat="false" ht="15" hidden="false" customHeight="true" outlineLevel="0" collapsed="false">
      <c r="A3" s="6" t="s">
        <v>120</v>
      </c>
      <c r="B3" s="6" t="s">
        <v>121</v>
      </c>
      <c r="C3" s="6" t="s">
        <v>122</v>
      </c>
      <c r="D3" s="6" t="s">
        <v>125</v>
      </c>
      <c r="E3" s="6" t="s">
        <v>126</v>
      </c>
      <c r="F3" s="6" t="n">
        <v>4</v>
      </c>
      <c r="G3" s="6" t="s">
        <v>127</v>
      </c>
      <c r="H3" s="6"/>
    </row>
    <row r="4" customFormat="false" ht="15" hidden="false" customHeight="true" outlineLevel="0" collapsed="false">
      <c r="A4" s="6" t="s">
        <v>120</v>
      </c>
      <c r="B4" s="6" t="s">
        <v>121</v>
      </c>
      <c r="C4" s="6" t="s">
        <v>128</v>
      </c>
      <c r="D4" s="6" t="s">
        <v>129</v>
      </c>
      <c r="E4" s="6" t="s">
        <v>130</v>
      </c>
      <c r="F4" s="6" t="n">
        <v>5</v>
      </c>
      <c r="G4" s="6" t="s">
        <v>131</v>
      </c>
      <c r="H4" s="6"/>
    </row>
    <row r="5" customFormat="false" ht="23.25" hidden="false" customHeight="true" outlineLevel="0" collapsed="false">
      <c r="A5" s="6" t="s">
        <v>120</v>
      </c>
      <c r="B5" s="6" t="s">
        <v>121</v>
      </c>
      <c r="C5" s="6" t="s">
        <v>132</v>
      </c>
      <c r="D5" s="6" t="s">
        <v>133</v>
      </c>
      <c r="E5" s="6" t="s">
        <v>95</v>
      </c>
      <c r="F5" s="6" t="n">
        <v>2</v>
      </c>
      <c r="G5" s="6" t="s">
        <v>134</v>
      </c>
      <c r="H5" s="6"/>
    </row>
    <row r="6" customFormat="false" ht="23.25" hidden="false" customHeight="true" outlineLevel="0" collapsed="false">
      <c r="A6" s="6" t="s">
        <v>135</v>
      </c>
      <c r="B6" s="6" t="s">
        <v>136</v>
      </c>
      <c r="C6" s="6" t="s">
        <v>128</v>
      </c>
      <c r="D6" s="6" t="s">
        <v>137</v>
      </c>
      <c r="E6" s="6" t="s">
        <v>138</v>
      </c>
      <c r="F6" s="6" t="n">
        <v>6</v>
      </c>
      <c r="G6" s="6" t="s">
        <v>139</v>
      </c>
      <c r="H6" s="6"/>
    </row>
    <row r="7" customFormat="false" ht="23.25" hidden="false" customHeight="true" outlineLevel="0" collapsed="false">
      <c r="A7" s="6" t="s">
        <v>135</v>
      </c>
      <c r="B7" s="6" t="s">
        <v>136</v>
      </c>
      <c r="C7" s="6" t="s">
        <v>140</v>
      </c>
      <c r="D7" s="6" t="s">
        <v>141</v>
      </c>
      <c r="E7" s="6" t="s">
        <v>99</v>
      </c>
      <c r="F7" s="6" t="n">
        <v>3</v>
      </c>
      <c r="G7" s="6" t="s">
        <v>142</v>
      </c>
      <c r="H7" s="6"/>
    </row>
    <row r="8" customFormat="false" ht="15" hidden="false" customHeight="true" outlineLevel="0" collapsed="false">
      <c r="A8" s="6" t="s">
        <v>135</v>
      </c>
      <c r="B8" s="6" t="s">
        <v>136</v>
      </c>
      <c r="C8" s="6" t="s">
        <v>122</v>
      </c>
      <c r="D8" s="6" t="s">
        <v>143</v>
      </c>
      <c r="E8" s="6" t="s">
        <v>144</v>
      </c>
      <c r="F8" s="6" t="n">
        <v>3</v>
      </c>
      <c r="G8" s="6" t="s">
        <v>145</v>
      </c>
      <c r="H8" s="6"/>
    </row>
    <row r="9" customFormat="false" ht="23.25" hidden="false" customHeight="true" outlineLevel="0" collapsed="false">
      <c r="A9" s="6" t="s">
        <v>146</v>
      </c>
      <c r="B9" s="6" t="s">
        <v>147</v>
      </c>
      <c r="C9" s="6" t="s">
        <v>128</v>
      </c>
      <c r="D9" s="6" t="s">
        <v>148</v>
      </c>
      <c r="E9" s="6" t="s">
        <v>149</v>
      </c>
      <c r="F9" s="6" t="n">
        <v>4</v>
      </c>
      <c r="G9" s="6" t="s">
        <v>150</v>
      </c>
      <c r="H9" s="6"/>
    </row>
    <row r="10" customFormat="false" ht="15" hidden="false" customHeight="true" outlineLevel="0" collapsed="false">
      <c r="A10" s="6" t="s">
        <v>146</v>
      </c>
      <c r="B10" s="6" t="s">
        <v>147</v>
      </c>
      <c r="C10" s="6" t="s">
        <v>132</v>
      </c>
      <c r="D10" s="6" t="s">
        <v>151</v>
      </c>
      <c r="E10" s="6" t="s">
        <v>95</v>
      </c>
      <c r="F10" s="6" t="n">
        <v>6</v>
      </c>
      <c r="G10" s="6" t="s">
        <v>152</v>
      </c>
      <c r="H10" s="6"/>
    </row>
    <row r="11" customFormat="false" ht="15" hidden="false" customHeight="true" outlineLevel="0" collapsed="false">
      <c r="A11" s="12" t="s">
        <v>153</v>
      </c>
      <c r="B11" s="12" t="s">
        <v>154</v>
      </c>
      <c r="C11" s="12" t="s">
        <v>128</v>
      </c>
      <c r="D11" s="12" t="s">
        <v>155</v>
      </c>
      <c r="E11" s="12" t="s">
        <v>84</v>
      </c>
      <c r="F11" s="12" t="n">
        <v>4</v>
      </c>
      <c r="G11" s="12" t="s">
        <v>156</v>
      </c>
      <c r="H11" s="12"/>
    </row>
    <row r="12" customFormat="false" ht="15" hidden="false" customHeight="true" outlineLevel="0" collapsed="false">
      <c r="A12" s="6" t="s">
        <v>153</v>
      </c>
      <c r="B12" s="6" t="s">
        <v>154</v>
      </c>
      <c r="C12" s="6" t="s">
        <v>132</v>
      </c>
      <c r="D12" s="6" t="s">
        <v>157</v>
      </c>
      <c r="E12" s="6" t="s">
        <v>95</v>
      </c>
      <c r="F12" s="6" t="n">
        <v>4</v>
      </c>
      <c r="G12" s="6" t="s">
        <v>158</v>
      </c>
      <c r="H12" s="6"/>
    </row>
    <row r="13" customFormat="false" ht="15" hidden="false" customHeight="true" outlineLevel="0" collapsed="false">
      <c r="A13" s="12" t="s">
        <v>159</v>
      </c>
      <c r="B13" s="12" t="s">
        <v>160</v>
      </c>
      <c r="C13" s="12" t="s">
        <v>132</v>
      </c>
      <c r="D13" s="12" t="s">
        <v>161</v>
      </c>
      <c r="E13" s="12" t="s">
        <v>95</v>
      </c>
      <c r="F13" s="12" t="n">
        <v>6</v>
      </c>
      <c r="G13" s="12" t="s">
        <v>162</v>
      </c>
      <c r="H13" s="12"/>
    </row>
    <row r="14" customFormat="false" ht="23.25" hidden="false" customHeight="true" outlineLevel="0" collapsed="false">
      <c r="A14" s="6" t="s">
        <v>159</v>
      </c>
      <c r="B14" s="6" t="s">
        <v>160</v>
      </c>
      <c r="C14" s="6" t="s">
        <v>140</v>
      </c>
      <c r="D14" s="6" t="s">
        <v>163</v>
      </c>
      <c r="E14" s="6" t="s">
        <v>164</v>
      </c>
      <c r="F14" s="6" t="n">
        <v>4</v>
      </c>
      <c r="G14" s="6" t="s">
        <v>165</v>
      </c>
      <c r="H14" s="6"/>
    </row>
    <row r="15" customFormat="false" ht="15" hidden="false" customHeight="true" outlineLevel="0" collapsed="false">
      <c r="A15" s="6" t="s">
        <v>166</v>
      </c>
      <c r="B15" s="6" t="s">
        <v>167</v>
      </c>
      <c r="C15" s="6" t="s">
        <v>122</v>
      </c>
      <c r="D15" s="6" t="s">
        <v>168</v>
      </c>
      <c r="E15" s="6" t="s">
        <v>91</v>
      </c>
      <c r="F15" s="6" t="n">
        <v>4</v>
      </c>
      <c r="G15" s="6" t="s">
        <v>169</v>
      </c>
      <c r="H15" s="6"/>
    </row>
    <row r="16" customFormat="false" ht="23.25" hidden="false" customHeight="true" outlineLevel="0" collapsed="false">
      <c r="A16" s="6" t="s">
        <v>166</v>
      </c>
      <c r="B16" s="6" t="s">
        <v>167</v>
      </c>
      <c r="C16" s="6" t="s">
        <v>128</v>
      </c>
      <c r="D16" s="6" t="s">
        <v>170</v>
      </c>
      <c r="E16" s="6" t="s">
        <v>80</v>
      </c>
      <c r="F16" s="6" t="n">
        <v>2</v>
      </c>
      <c r="G16" s="6" t="s">
        <v>171</v>
      </c>
      <c r="H16" s="6"/>
    </row>
    <row r="17" customFormat="false" ht="15" hidden="false" customHeight="true" outlineLevel="0" collapsed="false">
      <c r="A17" s="6" t="s">
        <v>172</v>
      </c>
      <c r="B17" s="6" t="s">
        <v>173</v>
      </c>
      <c r="C17" s="6" t="s">
        <v>140</v>
      </c>
      <c r="D17" s="6" t="s">
        <v>174</v>
      </c>
      <c r="E17" s="6" t="s">
        <v>80</v>
      </c>
      <c r="F17" s="6" t="n">
        <v>5</v>
      </c>
      <c r="G17" s="6" t="s">
        <v>175</v>
      </c>
      <c r="H17" s="6"/>
    </row>
    <row r="18" customFormat="false" ht="15" hidden="false" customHeight="true" outlineLevel="0" collapsed="false">
      <c r="A18" s="12" t="s">
        <v>176</v>
      </c>
      <c r="B18" s="12" t="s">
        <v>177</v>
      </c>
      <c r="C18" s="12" t="s">
        <v>140</v>
      </c>
      <c r="D18" s="12" t="s">
        <v>178</v>
      </c>
      <c r="E18" s="12" t="s">
        <v>179</v>
      </c>
      <c r="F18" s="12" t="n">
        <v>2</v>
      </c>
      <c r="G18" s="12" t="s">
        <v>180</v>
      </c>
      <c r="H18" s="12"/>
    </row>
    <row r="19" customFormat="false" ht="15" hidden="false" customHeight="true" outlineLevel="0" collapsed="false">
      <c r="A19" s="6" t="s">
        <v>181</v>
      </c>
      <c r="B19" s="6" t="s">
        <v>182</v>
      </c>
      <c r="C19" s="6" t="s">
        <v>183</v>
      </c>
      <c r="D19" s="6" t="s">
        <v>184</v>
      </c>
      <c r="E19" s="6" t="s">
        <v>80</v>
      </c>
      <c r="F19" s="6" t="n">
        <v>6</v>
      </c>
      <c r="G19" s="6" t="s">
        <v>185</v>
      </c>
      <c r="H19" s="6"/>
    </row>
    <row r="20" customFormat="false" ht="15" hidden="false" customHeight="true" outlineLevel="0" collapsed="false">
      <c r="A20" s="6" t="s">
        <v>186</v>
      </c>
      <c r="B20" s="6" t="s">
        <v>187</v>
      </c>
      <c r="C20" s="6" t="s">
        <v>183</v>
      </c>
      <c r="D20" s="6" t="s">
        <v>188</v>
      </c>
      <c r="E20" s="6" t="s">
        <v>179</v>
      </c>
      <c r="F20" s="6" t="n">
        <v>2</v>
      </c>
      <c r="G20" s="6" t="s">
        <v>189</v>
      </c>
      <c r="H20" s="6"/>
    </row>
    <row r="21" customFormat="false" ht="15" hidden="false" customHeight="true" outlineLevel="0" collapsed="false">
      <c r="A21" s="6" t="s">
        <v>190</v>
      </c>
      <c r="B21" s="6" t="s">
        <v>191</v>
      </c>
      <c r="C21" s="6" t="s">
        <v>192</v>
      </c>
      <c r="D21" s="6" t="s">
        <v>193</v>
      </c>
      <c r="E21" s="6" t="s">
        <v>80</v>
      </c>
      <c r="F21" s="6" t="n">
        <v>4</v>
      </c>
      <c r="G21" s="6" t="s">
        <v>194</v>
      </c>
      <c r="H21" s="6"/>
    </row>
    <row r="22" customFormat="false" ht="23.25" hidden="false" customHeight="true" outlineLevel="0" collapsed="false">
      <c r="A22" s="12" t="s">
        <v>195</v>
      </c>
      <c r="B22" s="12" t="s">
        <v>196</v>
      </c>
      <c r="C22" s="12" t="s">
        <v>122</v>
      </c>
      <c r="D22" s="12" t="s">
        <v>197</v>
      </c>
      <c r="E22" s="12" t="s">
        <v>198</v>
      </c>
      <c r="F22" s="12" t="n">
        <v>6</v>
      </c>
      <c r="G22" s="12" t="s">
        <v>199</v>
      </c>
      <c r="H22" s="12"/>
    </row>
    <row r="23" customFormat="false" ht="15" hidden="false" customHeight="true" outlineLevel="0" collapsed="false">
      <c r="A23" s="6" t="s">
        <v>200</v>
      </c>
      <c r="B23" s="6" t="s">
        <v>201</v>
      </c>
      <c r="C23" s="6" t="s">
        <v>202</v>
      </c>
      <c r="D23" s="6" t="s">
        <v>203</v>
      </c>
      <c r="E23" s="6" t="s">
        <v>80</v>
      </c>
      <c r="F23" s="6" t="n">
        <v>2</v>
      </c>
      <c r="G23" s="6" t="s">
        <v>204</v>
      </c>
      <c r="H23" s="6"/>
    </row>
    <row r="25" customFormat="false" ht="15" hidden="false" customHeight="true" outlineLevel="0" collapsed="false">
      <c r="A25" s="4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34"/>
  </cols>
  <sheetData>
    <row r="1" customFormat="false" ht="15" hidden="false" customHeight="true" outlineLevel="0" collapsed="false">
      <c r="A1" s="5" t="s">
        <v>206</v>
      </c>
      <c r="B1" s="5" t="s">
        <v>207</v>
      </c>
      <c r="C1" s="5" t="s">
        <v>208</v>
      </c>
      <c r="D1" s="5" t="s">
        <v>209</v>
      </c>
      <c r="E1" s="5" t="s">
        <v>76</v>
      </c>
      <c r="F1" s="5" t="s">
        <v>210</v>
      </c>
      <c r="G1" s="5" t="s">
        <v>211</v>
      </c>
    </row>
    <row r="2" customFormat="false" ht="23.25" hidden="false" customHeight="true" outlineLevel="0" collapsed="false">
      <c r="A2" s="6" t="s">
        <v>212</v>
      </c>
      <c r="B2" s="6" t="s">
        <v>213</v>
      </c>
      <c r="C2" s="6" t="s">
        <v>214</v>
      </c>
      <c r="D2" s="6" t="s">
        <v>215</v>
      </c>
      <c r="E2" s="6" t="s">
        <v>80</v>
      </c>
      <c r="F2" s="6" t="s">
        <v>216</v>
      </c>
      <c r="G2" s="6" t="s">
        <v>217</v>
      </c>
    </row>
    <row r="3" customFormat="false" ht="23.25" hidden="false" customHeight="true" outlineLevel="0" collapsed="false">
      <c r="A3" s="6" t="s">
        <v>218</v>
      </c>
      <c r="B3" s="6" t="s">
        <v>219</v>
      </c>
      <c r="C3" s="6" t="s">
        <v>220</v>
      </c>
      <c r="D3" s="6" t="s">
        <v>221</v>
      </c>
      <c r="E3" s="6" t="s">
        <v>222</v>
      </c>
      <c r="F3" s="6" t="s">
        <v>223</v>
      </c>
      <c r="G3" s="6" t="s">
        <v>224</v>
      </c>
    </row>
    <row r="4" customFormat="false" ht="15" hidden="false" customHeight="true" outlineLevel="0" collapsed="false">
      <c r="A4" s="6" t="s">
        <v>225</v>
      </c>
      <c r="B4" s="6" t="s">
        <v>226</v>
      </c>
      <c r="C4" s="6" t="s">
        <v>227</v>
      </c>
      <c r="D4" s="6" t="s">
        <v>228</v>
      </c>
      <c r="E4" s="6" t="s">
        <v>80</v>
      </c>
      <c r="F4" s="6" t="s">
        <v>229</v>
      </c>
      <c r="G4" s="6" t="s">
        <v>230</v>
      </c>
    </row>
    <row r="5" customFormat="false" ht="23.25" hidden="false" customHeight="true" outlineLevel="0" collapsed="false">
      <c r="A5" s="6" t="s">
        <v>231</v>
      </c>
      <c r="B5" s="6" t="s">
        <v>232</v>
      </c>
      <c r="C5" s="6" t="s">
        <v>233</v>
      </c>
      <c r="D5" s="6" t="s">
        <v>228</v>
      </c>
      <c r="E5" s="6" t="s">
        <v>80</v>
      </c>
      <c r="F5" s="6" t="s">
        <v>234</v>
      </c>
      <c r="G5" s="6" t="s">
        <v>235</v>
      </c>
    </row>
    <row r="6" customFormat="false" ht="15" hidden="false" customHeight="true" outlineLevel="0" collapsed="false">
      <c r="A6" s="6" t="s">
        <v>236</v>
      </c>
      <c r="B6" s="6" t="s">
        <v>237</v>
      </c>
      <c r="C6" s="6" t="s">
        <v>238</v>
      </c>
      <c r="D6" s="6" t="s">
        <v>228</v>
      </c>
      <c r="E6" s="6" t="s">
        <v>144</v>
      </c>
      <c r="F6" s="6" t="s">
        <v>239</v>
      </c>
      <c r="G6" s="6" t="s">
        <v>240</v>
      </c>
    </row>
    <row r="7" customFormat="false" ht="15" hidden="false" customHeight="true" outlineLevel="0" collapsed="false">
      <c r="A7" s="6" t="s">
        <v>241</v>
      </c>
      <c r="B7" s="6" t="s">
        <v>242</v>
      </c>
      <c r="C7" s="6" t="s">
        <v>243</v>
      </c>
      <c r="D7" s="6" t="s">
        <v>244</v>
      </c>
      <c r="E7" s="6" t="s">
        <v>144</v>
      </c>
      <c r="F7" s="6" t="s">
        <v>245</v>
      </c>
      <c r="G7" s="6" t="s">
        <v>246</v>
      </c>
    </row>
    <row r="8" customFormat="false" ht="15" hidden="false" customHeight="true" outlineLevel="0" collapsed="false">
      <c r="A8" s="6" t="s">
        <v>247</v>
      </c>
      <c r="B8" s="6" t="s">
        <v>248</v>
      </c>
      <c r="C8" s="6" t="s">
        <v>249</v>
      </c>
      <c r="D8" s="6" t="s">
        <v>250</v>
      </c>
      <c r="E8" s="6" t="s">
        <v>80</v>
      </c>
      <c r="F8" s="6" t="s">
        <v>251</v>
      </c>
      <c r="G8" s="6" t="s">
        <v>252</v>
      </c>
    </row>
    <row r="9" customFormat="false" ht="15" hidden="false" customHeight="true" outlineLevel="0" collapsed="false">
      <c r="A9" s="6" t="s">
        <v>253</v>
      </c>
      <c r="B9" s="6" t="s">
        <v>254</v>
      </c>
      <c r="C9" s="6" t="s">
        <v>255</v>
      </c>
      <c r="D9" s="6" t="s">
        <v>256</v>
      </c>
      <c r="E9" s="6" t="s">
        <v>95</v>
      </c>
      <c r="F9" s="6" t="s">
        <v>257</v>
      </c>
      <c r="G9" s="6" t="s">
        <v>258</v>
      </c>
    </row>
    <row r="10" customFormat="false" ht="15" hidden="false" customHeight="true" outlineLevel="0" collapsed="false">
      <c r="A10" s="6" t="s">
        <v>259</v>
      </c>
      <c r="B10" s="6" t="s">
        <v>260</v>
      </c>
      <c r="C10" s="6" t="s">
        <v>261</v>
      </c>
      <c r="D10" s="6" t="s">
        <v>228</v>
      </c>
      <c r="E10" s="6" t="s">
        <v>80</v>
      </c>
      <c r="F10" s="6" t="s">
        <v>262</v>
      </c>
      <c r="G10" s="6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23.85" hidden="false" customHeight="false" outlineLevel="0" collapsed="false">
      <c r="A1" s="13" t="s">
        <v>264</v>
      </c>
      <c r="B1" s="14"/>
      <c r="C1" s="14"/>
    </row>
    <row r="2" customFormat="false" ht="15" hidden="false" customHeight="false" outlineLevel="0" collapsed="false">
      <c r="A2" s="14"/>
      <c r="B2" s="14"/>
      <c r="C2" s="14"/>
    </row>
    <row r="3" customFormat="false" ht="15" hidden="false" customHeight="false" outlineLevel="0" collapsed="false">
      <c r="A3" s="13" t="s">
        <v>265</v>
      </c>
      <c r="B3" s="14"/>
      <c r="C3" s="14"/>
    </row>
    <row r="4" customFormat="false" ht="15" hidden="false" customHeight="false" outlineLevel="0" collapsed="false">
      <c r="A4" s="14" t="s">
        <v>266</v>
      </c>
      <c r="B4" s="15" t="n">
        <v>250</v>
      </c>
      <c r="C4" s="14"/>
    </row>
    <row r="5" customFormat="false" ht="15" hidden="false" customHeight="false" outlineLevel="0" collapsed="false">
      <c r="A5" s="14" t="s">
        <v>267</v>
      </c>
      <c r="B5" s="15" t="n">
        <v>1200</v>
      </c>
      <c r="C5" s="14" t="s">
        <v>268</v>
      </c>
    </row>
    <row r="6" customFormat="false" ht="15" hidden="false" customHeight="false" outlineLevel="0" collapsed="false">
      <c r="A6" s="14" t="s">
        <v>269</v>
      </c>
      <c r="B6" s="16" t="n">
        <v>400</v>
      </c>
      <c r="C6" s="14" t="s">
        <v>270</v>
      </c>
    </row>
    <row r="7" customFormat="false" ht="15" hidden="false" customHeight="false" outlineLevel="0" collapsed="false">
      <c r="A7" s="14" t="s">
        <v>271</v>
      </c>
      <c r="B7" s="15" t="n">
        <v>50</v>
      </c>
      <c r="C7" s="14" t="s">
        <v>272</v>
      </c>
    </row>
    <row r="8" customFormat="false" ht="15" hidden="false" customHeight="false" outlineLevel="0" collapsed="false">
      <c r="A8" s="14" t="s">
        <v>273</v>
      </c>
      <c r="B8" s="16" t="n">
        <v>400</v>
      </c>
      <c r="C8" s="14" t="s">
        <v>274</v>
      </c>
    </row>
    <row r="9" customFormat="false" ht="15" hidden="false" customHeight="false" outlineLevel="0" collapsed="false">
      <c r="A9" s="14" t="s">
        <v>275</v>
      </c>
      <c r="B9" s="15" t="n">
        <v>5</v>
      </c>
      <c r="C9" s="14" t="s">
        <v>276</v>
      </c>
    </row>
    <row r="10" customFormat="false" ht="15" hidden="false" customHeight="false" outlineLevel="0" collapsed="false">
      <c r="A10" s="14" t="s">
        <v>277</v>
      </c>
      <c r="B10" s="16" t="n">
        <v>600</v>
      </c>
      <c r="C10" s="14" t="s">
        <v>278</v>
      </c>
    </row>
    <row r="11" customFormat="false" ht="15" hidden="false" customHeight="false" outlineLevel="0" collapsed="false">
      <c r="A11" s="14" t="s">
        <v>279</v>
      </c>
      <c r="B11" s="15" t="n">
        <v>1</v>
      </c>
      <c r="C11" s="14" t="s">
        <v>280</v>
      </c>
    </row>
    <row r="12" customFormat="false" ht="15" hidden="false" customHeight="false" outlineLevel="0" collapsed="false">
      <c r="A12" s="14" t="s">
        <v>281</v>
      </c>
      <c r="B12" s="15" t="n">
        <v>50</v>
      </c>
      <c r="C12" s="14" t="s">
        <v>282</v>
      </c>
    </row>
    <row r="13" customFormat="false" ht="15" hidden="false" customHeight="false" outlineLevel="0" collapsed="false">
      <c r="A13" s="14" t="s">
        <v>283</v>
      </c>
      <c r="B13" s="15" t="n">
        <v>150</v>
      </c>
      <c r="C13" s="14" t="s">
        <v>284</v>
      </c>
    </row>
    <row r="14" customFormat="false" ht="15" hidden="false" customHeight="false" outlineLevel="0" collapsed="false">
      <c r="A14" s="14" t="s">
        <v>285</v>
      </c>
      <c r="B14" s="15" t="n">
        <v>150</v>
      </c>
      <c r="C14" s="14" t="s">
        <v>286</v>
      </c>
    </row>
    <row r="15" customFormat="false" ht="15" hidden="false" customHeight="false" outlineLevel="0" collapsed="false">
      <c r="A15" s="14" t="s">
        <v>287</v>
      </c>
      <c r="B15" s="15" t="n">
        <v>2500</v>
      </c>
      <c r="C15" s="14" t="s">
        <v>288</v>
      </c>
    </row>
    <row r="16" customFormat="false" ht="15" hidden="false" customHeight="false" outlineLevel="0" collapsed="false">
      <c r="A16" s="14" t="s">
        <v>289</v>
      </c>
      <c r="B16" s="15" t="n">
        <v>20</v>
      </c>
      <c r="C16" s="14" t="s">
        <v>290</v>
      </c>
    </row>
    <row r="17" customFormat="false" ht="15" hidden="false" customHeight="false" outlineLevel="0" collapsed="false">
      <c r="A17" s="14"/>
      <c r="B17" s="14"/>
      <c r="C17" s="14"/>
    </row>
    <row r="18" customFormat="false" ht="15" hidden="false" customHeight="false" outlineLevel="0" collapsed="false">
      <c r="A18" s="13" t="s">
        <v>291</v>
      </c>
      <c r="B18" s="14"/>
      <c r="C18" s="14"/>
    </row>
    <row r="19" customFormat="false" ht="15" hidden="false" customHeight="false" outlineLevel="0" collapsed="false">
      <c r="A19" s="14" t="s">
        <v>292</v>
      </c>
      <c r="B19" s="14" t="n">
        <f aca="false">B4*(B6-B7)</f>
        <v>87500</v>
      </c>
      <c r="C19" s="14" t="s">
        <v>293</v>
      </c>
    </row>
    <row r="20" customFormat="false" ht="15" hidden="false" customHeight="false" outlineLevel="0" collapsed="false">
      <c r="A20" s="14" t="s">
        <v>294</v>
      </c>
      <c r="B20" s="14" t="n">
        <f aca="false">B8/B9</f>
        <v>80</v>
      </c>
      <c r="C20" s="14"/>
    </row>
    <row r="21" customFormat="false" ht="15" hidden="false" customHeight="false" outlineLevel="0" collapsed="false">
      <c r="A21" s="14" t="s">
        <v>295</v>
      </c>
      <c r="B21" s="14" t="n">
        <f aca="false">IF(B11=1,0,B8/B12)</f>
        <v>0</v>
      </c>
      <c r="C21" s="14" t="s">
        <v>296</v>
      </c>
    </row>
    <row r="22" customFormat="false" ht="15" hidden="false" customHeight="false" outlineLevel="0" collapsed="false">
      <c r="A22" s="14" t="s">
        <v>297</v>
      </c>
      <c r="B22" s="14" t="n">
        <f aca="false">(B20-B21)*B10</f>
        <v>48000</v>
      </c>
      <c r="C22" s="14"/>
    </row>
    <row r="23" customFormat="false" ht="15" hidden="false" customHeight="false" outlineLevel="0" collapsed="false">
      <c r="A23" s="13" t="s">
        <v>298</v>
      </c>
      <c r="B23" s="17" t="n">
        <f aca="false">B19+B22</f>
        <v>135500</v>
      </c>
      <c r="C23" s="14"/>
    </row>
    <row r="24" customFormat="false" ht="15" hidden="false" customHeight="false" outlineLevel="0" collapsed="false">
      <c r="A24" s="14" t="s">
        <v>299</v>
      </c>
      <c r="B24" s="14" t="n">
        <f aca="false">B4*B5</f>
        <v>300000</v>
      </c>
      <c r="C24" s="14"/>
    </row>
    <row r="25" customFormat="false" ht="15" hidden="false" customHeight="false" outlineLevel="0" collapsed="false">
      <c r="A25" s="14" t="s">
        <v>300</v>
      </c>
      <c r="B25" s="18" t="n">
        <f aca="false">B24/(B23/12)</f>
        <v>26.5682656826568</v>
      </c>
      <c r="C25" s="14"/>
    </row>
    <row r="26" customFormat="false" ht="15" hidden="false" customHeight="false" outlineLevel="0" collapsed="false">
      <c r="A26" s="14"/>
      <c r="B26" s="14"/>
      <c r="C26" s="14"/>
    </row>
    <row r="27" customFormat="false" ht="15" hidden="false" customHeight="false" outlineLevel="0" collapsed="false">
      <c r="A27" s="13" t="s">
        <v>301</v>
      </c>
      <c r="B27" s="14"/>
      <c r="C27" s="14"/>
    </row>
    <row r="28" customFormat="false" ht="15" hidden="false" customHeight="false" outlineLevel="0" collapsed="false">
      <c r="A28" s="14" t="s">
        <v>302</v>
      </c>
      <c r="B28" s="14" t="s">
        <v>303</v>
      </c>
      <c r="C28" s="14" t="s">
        <v>304</v>
      </c>
    </row>
    <row r="29" customFormat="false" ht="15" hidden="false" customHeight="false" outlineLevel="0" collapsed="false">
      <c r="A29" s="14"/>
      <c r="B29" s="14"/>
      <c r="C29" s="14"/>
    </row>
    <row r="30" customFormat="false" ht="15" hidden="false" customHeight="false" outlineLevel="0" collapsed="false">
      <c r="A30" s="13" t="s">
        <v>305</v>
      </c>
      <c r="B30" s="14" t="s">
        <v>306</v>
      </c>
      <c r="C30" s="14" t="s">
        <v>307</v>
      </c>
    </row>
    <row r="31" customFormat="false" ht="15" hidden="false" customHeight="false" outlineLevel="0" collapsed="false">
      <c r="A31" s="14" t="s">
        <v>308</v>
      </c>
      <c r="B31" s="6" t="n">
        <f aca="false">B4*0.2*B13*52</f>
        <v>390000</v>
      </c>
      <c r="C31" s="6" t="n">
        <f aca="false">B4*0.2*B14*365</f>
        <v>2737500</v>
      </c>
    </row>
    <row r="32" customFormat="false" ht="15" hidden="false" customHeight="false" outlineLevel="0" collapsed="false">
      <c r="A32" s="14" t="s">
        <v>309</v>
      </c>
      <c r="B32" s="6" t="n">
        <f aca="false">B4*0.4*B13*52</f>
        <v>780000</v>
      </c>
      <c r="C32" s="6" t="n">
        <f aca="false">B4*0.4*B14*365</f>
        <v>5475000</v>
      </c>
    </row>
    <row r="33" customFormat="false" ht="15" hidden="false" customHeight="false" outlineLevel="0" collapsed="false">
      <c r="A33" s="14" t="s">
        <v>310</v>
      </c>
      <c r="B33" s="6" t="n">
        <f aca="false">B4*0.6*B13*52</f>
        <v>1170000</v>
      </c>
      <c r="C33" s="6" t="n">
        <f aca="false">B4*0.6*B14*365</f>
        <v>8212500</v>
      </c>
    </row>
    <row r="34" customFormat="false" ht="15" hidden="false" customHeight="false" outlineLevel="0" collapsed="false">
      <c r="A34" s="14" t="s">
        <v>311</v>
      </c>
      <c r="B34" s="14" t="n">
        <f aca="false">B16*(B15-B5)</f>
        <v>26000</v>
      </c>
      <c r="C34" s="14"/>
    </row>
    <row r="35" customFormat="false" ht="15" hidden="false" customHeight="false" outlineLevel="0" collapsed="false">
      <c r="A35" s="14"/>
      <c r="B35" s="14"/>
      <c r="C35" s="14"/>
    </row>
    <row r="36" customFormat="false" ht="15" hidden="false" customHeight="false" outlineLevel="0" collapsed="false">
      <c r="A36" s="13" t="s">
        <v>312</v>
      </c>
      <c r="B36" s="14"/>
      <c r="C36" s="14"/>
    </row>
    <row r="37" customFormat="false" ht="23.85" hidden="false" customHeight="false" outlineLevel="0" collapsed="false">
      <c r="A37" s="14" t="s">
        <v>313</v>
      </c>
      <c r="B37" s="14"/>
      <c r="C37" s="14"/>
    </row>
    <row r="38" customFormat="false" ht="23.85" hidden="false" customHeight="false" outlineLevel="0" collapsed="false">
      <c r="A38" s="14" t="s">
        <v>314</v>
      </c>
      <c r="B38" s="14"/>
      <c r="C38" s="14"/>
    </row>
    <row r="39" customFormat="false" ht="35.05" hidden="false" customHeight="false" outlineLevel="0" collapsed="false">
      <c r="A39" s="14" t="s">
        <v>315</v>
      </c>
      <c r="B39" s="14"/>
      <c r="C39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2026-06-10T13:52:27Z</dcterms:created>
  <dc:creator>openpyxl</dc:creator>
  <dc:description/>
  <dc:language>en-US</dc:language>
  <cp:lastModifiedBy/>
  <dcterms:modified xsi:type="dcterms:W3CDTF">2026-06-10T14:43:57Z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